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olors3.xml" ContentType="application/vnd.ms-office.chartcolorstyle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swhealth-my.sharepoint.com/personal/jeffrey_barber_health_nsw_gov_au/Documents/PCXMC CBCT Dose/"/>
    </mc:Choice>
  </mc:AlternateContent>
  <xr:revisionPtr revIDLastSave="634" documentId="8_{534D1B7A-48A1-49AD-9811-BE5DA90BFD4F}" xr6:coauthVersionLast="47" xr6:coauthVersionMax="47" xr10:uidLastSave="{DAF7AC1A-E784-4565-A771-505DAD595A64}"/>
  <bookViews>
    <workbookView xWindow="28680" yWindow="-120" windowWidth="29040" windowHeight="15840" activeTab="1" xr2:uid="{2802667D-0D58-4248-B535-37983F2FBF9E}"/>
  </bookViews>
  <sheets>
    <sheet name="Sheet1" sheetId="1" r:id="rId1"/>
    <sheet name="Collated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0" i="2" l="1"/>
  <c r="Y30" i="2" s="1"/>
  <c r="X29" i="2"/>
  <c r="Y29" i="2" s="1"/>
  <c r="X28" i="2"/>
  <c r="Y28" i="2" s="1"/>
  <c r="X27" i="2"/>
  <c r="Y27" i="2" s="1"/>
  <c r="X26" i="2"/>
  <c r="Y26" i="2" s="1"/>
  <c r="X25" i="2"/>
  <c r="Y25" i="2" s="1"/>
  <c r="Y24" i="2"/>
  <c r="X24" i="2"/>
  <c r="X23" i="2"/>
  <c r="Y23" i="2" s="1"/>
  <c r="X22" i="2"/>
  <c r="Y22" i="2" s="1"/>
  <c r="X21" i="2"/>
  <c r="Y21" i="2" s="1"/>
  <c r="X20" i="2"/>
  <c r="Y20" i="2" s="1"/>
  <c r="X19" i="2"/>
  <c r="Y19" i="2" s="1"/>
  <c r="X18" i="2"/>
  <c r="Y18" i="2" s="1"/>
  <c r="X17" i="2"/>
  <c r="Y17" i="2" s="1"/>
  <c r="X16" i="2"/>
  <c r="Y16" i="2" s="1"/>
  <c r="Y15" i="2"/>
  <c r="X15" i="2"/>
  <c r="X14" i="2"/>
  <c r="Y14" i="2" s="1"/>
  <c r="Q28" i="2"/>
  <c r="R28" i="2" s="1"/>
  <c r="Q27" i="2"/>
  <c r="R27" i="2" s="1"/>
  <c r="Q26" i="2"/>
  <c r="R26" i="2" s="1"/>
  <c r="Q25" i="2"/>
  <c r="R25" i="2" s="1"/>
  <c r="Q24" i="2"/>
  <c r="R24" i="2" s="1"/>
  <c r="Q23" i="2"/>
  <c r="R23" i="2" s="1"/>
  <c r="Q22" i="2"/>
  <c r="R22" i="2" s="1"/>
  <c r="R21" i="2"/>
  <c r="Q21" i="2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14" i="2"/>
  <c r="K14" i="2" s="1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V30" i="2"/>
  <c r="V29" i="2"/>
  <c r="V28" i="2"/>
  <c r="U30" i="2"/>
  <c r="U29" i="2"/>
  <c r="U28" i="2"/>
  <c r="F27" i="2"/>
  <c r="G27" i="2"/>
  <c r="F28" i="2"/>
  <c r="G28" i="2"/>
  <c r="F29" i="2"/>
  <c r="G29" i="2"/>
  <c r="F30" i="2"/>
  <c r="E30" i="2"/>
  <c r="I30" i="2" s="1"/>
  <c r="E29" i="2"/>
  <c r="I29" i="2" s="1"/>
  <c r="E28" i="2"/>
  <c r="I28" i="2" s="1"/>
  <c r="E27" i="2"/>
  <c r="I27" i="2" s="1"/>
  <c r="M30" i="2"/>
  <c r="Q30" i="2" s="1"/>
  <c r="R30" i="2" s="1"/>
  <c r="M29" i="2"/>
  <c r="Q29" i="2" s="1"/>
  <c r="R29" i="2" s="1"/>
  <c r="J29" i="2" l="1"/>
  <c r="K29" i="2" s="1"/>
  <c r="J30" i="2"/>
  <c r="K30" i="2" s="1"/>
  <c r="J28" i="2"/>
  <c r="K28" i="2" s="1"/>
  <c r="J27" i="2"/>
  <c r="K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tc={DA2444F9-EE7D-487C-8C86-420CA11D8FAD}</author>
  </authors>
  <commentList>
    <comment ref="N16" authorId="0" shapeId="0" xr:uid="{DA2444F9-EE7D-487C-8C86-420CA11D8FAD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Interpolated from previous sheet for a 1cm asymmetry - setup error</t>
      </text>
    </comment>
  </commentList>
</comments>
</file>

<file path=xl/sharedStrings.xml><?xml version="1.0" encoding="utf-8"?>
<sst xmlns="http://schemas.openxmlformats.org/spreadsheetml/2006/main" count="178" uniqueCount="81">
  <si>
    <t>Raysafe X2</t>
  </si>
  <si>
    <t>LA5</t>
  </si>
  <si>
    <t>Service mode; XI tab, Acquisition, kV, Dynamic gain</t>
  </si>
  <si>
    <t>Raysafe at iso, G=90, extend kVs, take series of measurements to then find HVL and dose in-air profile for each combo</t>
  </si>
  <si>
    <t>distance in crossplane</t>
  </si>
  <si>
    <t>kVp</t>
  </si>
  <si>
    <t>Dose</t>
  </si>
  <si>
    <t>HVL (mm Al)</t>
  </si>
  <si>
    <t>TF (mmAl)</t>
  </si>
  <si>
    <t>mGy/s</t>
  </si>
  <si>
    <t>PU--&gt; kVSColl--&gt; extend filter &amp; fan (Foil &amp; shape</t>
  </si>
  <si>
    <t>Foil</t>
  </si>
  <si>
    <t>0 - out</t>
  </si>
  <si>
    <t>1 - in</t>
  </si>
  <si>
    <t xml:space="preserve">Shape </t>
  </si>
  <si>
    <t>0 none</t>
  </si>
  <si>
    <t>1 - half fan</t>
  </si>
  <si>
    <t>2 - full fan</t>
  </si>
  <si>
    <t>Full Fan</t>
  </si>
  <si>
    <t>Ti Filter in</t>
  </si>
  <si>
    <t>40mA</t>
  </si>
  <si>
    <t>40mS</t>
  </si>
  <si>
    <t>Focal Spot Large</t>
  </si>
  <si>
    <t>Blades(x,y) (14,14,10.7,10.7)</t>
  </si>
  <si>
    <t>SPOTLIGHT</t>
  </si>
  <si>
    <t>Dose uGy</t>
  </si>
  <si>
    <t>uGy/s</t>
  </si>
  <si>
    <t>collision detection</t>
  </si>
  <si>
    <t>120kV - no bow tie, CAX (40mA,40ms, large focal spot):</t>
  </si>
  <si>
    <t xml:space="preserve">HEAD </t>
  </si>
  <si>
    <t>Blades (14,14,10.7,10.7)</t>
  </si>
  <si>
    <t>100kV</t>
  </si>
  <si>
    <t>IMAGE GENTLY</t>
  </si>
  <si>
    <t>80kV</t>
  </si>
  <si>
    <t>100kV - no bow tie, CAX (40mA,40ms, large focal spot):</t>
  </si>
  <si>
    <t>80kV - no bow tie, CAX (40mA,40ms, large focal spot):</t>
  </si>
  <si>
    <t>Pelvis</t>
  </si>
  <si>
    <t>125kV</t>
  </si>
  <si>
    <t>Blades(24.7,3.3,10.7,10.7)</t>
  </si>
  <si>
    <t>CAX:</t>
  </si>
  <si>
    <t>Half Fan</t>
  </si>
  <si>
    <t>125 Full Fan CAX (Spotlight, blades (14,14,10.7,10.7)</t>
  </si>
  <si>
    <t>JB</t>
  </si>
  <si>
    <t>Protocol</t>
  </si>
  <si>
    <t>Head</t>
  </si>
  <si>
    <t>Spotlight</t>
  </si>
  <si>
    <t>Img Gently</t>
  </si>
  <si>
    <t>kV</t>
  </si>
  <si>
    <t>Fan</t>
  </si>
  <si>
    <t>Ti filter</t>
  </si>
  <si>
    <t>Blades</t>
  </si>
  <si>
    <t>mA/rdg</t>
  </si>
  <si>
    <t>mS/rdg</t>
  </si>
  <si>
    <t>Focal spot</t>
  </si>
  <si>
    <t>Large</t>
  </si>
  <si>
    <t>Yes</t>
  </si>
  <si>
    <t>Full</t>
  </si>
  <si>
    <t>(14,14,10.7,10.7)</t>
  </si>
  <si>
    <t xml:space="preserve"> </t>
  </si>
  <si>
    <t>Crossplane</t>
  </si>
  <si>
    <t>/cm</t>
  </si>
  <si>
    <r>
      <t>HVL</t>
    </r>
    <r>
      <rPr>
        <sz val="8"/>
        <color theme="1"/>
        <rFont val="Calibri"/>
        <family val="2"/>
        <scheme val="minor"/>
      </rPr>
      <t xml:space="preserve"> (mm Al)</t>
    </r>
  </si>
  <si>
    <t>All DynamicGain kV shots</t>
  </si>
  <si>
    <t>Half</t>
  </si>
  <si>
    <t>(24.7,3.3,10.7,10.7)</t>
  </si>
  <si>
    <t>interpolated from meas</t>
  </si>
  <si>
    <t>Pelvis Large</t>
  </si>
  <si>
    <t>100 kV</t>
  </si>
  <si>
    <t>125 kV</t>
  </si>
  <si>
    <t>80 kV</t>
  </si>
  <si>
    <t>140  kV</t>
  </si>
  <si>
    <t>*extrapolated</t>
  </si>
  <si>
    <t>FROM DEVICE</t>
  </si>
  <si>
    <t>uGy/s if contstant output</t>
  </si>
  <si>
    <t>FROM PREV MEASUREMENTS</t>
  </si>
  <si>
    <t>uGy/mAs</t>
  </si>
  <si>
    <t>Clinical Setting:</t>
  </si>
  <si>
    <t>mA</t>
  </si>
  <si>
    <t>ms</t>
  </si>
  <si>
    <t>frames/s</t>
  </si>
  <si>
    <t>uGy/s for clin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</si>
</sst>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0" borderId="0" xfId="0" applyNumberFormat="1"/>
    <xf numFmtId="164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0" fontId="4" fillId="0" borderId="5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Sheet1!$A$14:$A$28</c:f>
              <c:numCache>
                <c:formatCode>General</c:formatCode>
                <c:ptCount val="15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</c:numCache>
            </c:numRef>
          </c:xVal>
          <c:yVal>
            <c:numRef>
              <c:f>Sheet1!$B$14:$B$28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7-43A9-95D3-EF4E8F07328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Sheet1!$A$14:$A$28</c:f>
              <c:numCache>
                <c:formatCode>General</c:formatCode>
                <c:ptCount val="15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</c:numCache>
            </c:numRef>
          </c:xVal>
          <c:yVal>
            <c:numRef>
              <c:f>Sheet1!$C$14:$C$28</c:f>
              <c:numCache>
                <c:formatCode>General</c:formatCode>
                <c:ptCount val="15"/>
                <c:pt idx="0">
                  <c:v>0.11799999999999999</c:v>
                </c:pt>
                <c:pt idx="1">
                  <c:v>0.13400000000000001</c:v>
                </c:pt>
                <c:pt idx="2">
                  <c:v>0.17799999999999999</c:v>
                </c:pt>
                <c:pt idx="3">
                  <c:v>0.52200000000000002</c:v>
                </c:pt>
                <c:pt idx="4">
                  <c:v>1.73</c:v>
                </c:pt>
                <c:pt idx="5">
                  <c:v>3.1779999999999999</c:v>
                </c:pt>
                <c:pt idx="6">
                  <c:v>4.3860000000000001</c:v>
                </c:pt>
                <c:pt idx="7">
                  <c:v>4.5759999999999996</c:v>
                </c:pt>
                <c:pt idx="8">
                  <c:v>3.7370000000000001</c:v>
                </c:pt>
                <c:pt idx="9">
                  <c:v>2.2909999999999999</c:v>
                </c:pt>
                <c:pt idx="10">
                  <c:v>0.98599999999999999</c:v>
                </c:pt>
                <c:pt idx="11">
                  <c:v>0.22500000000000001</c:v>
                </c:pt>
                <c:pt idx="12">
                  <c:v>0.151</c:v>
                </c:pt>
                <c:pt idx="13">
                  <c:v>0.123</c:v>
                </c:pt>
                <c:pt idx="14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07-43A9-95D3-EF4E8F07328E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Sheet1!$A$14:$A$28</c:f>
              <c:numCache>
                <c:formatCode>General</c:formatCode>
                <c:ptCount val="15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</c:numCache>
            </c:numRef>
          </c:xVal>
          <c:yVal>
            <c:numRef>
              <c:f>Sheet1!$D$14:$D$28</c:f>
              <c:numCache>
                <c:formatCode>General</c:formatCode>
                <c:ptCount val="15"/>
                <c:pt idx="0">
                  <c:v>3</c:v>
                </c:pt>
                <c:pt idx="1">
                  <c:v>3.4449999999999998</c:v>
                </c:pt>
                <c:pt idx="2">
                  <c:v>4.45</c:v>
                </c:pt>
                <c:pt idx="3">
                  <c:v>13.12</c:v>
                </c:pt>
                <c:pt idx="4">
                  <c:v>43.6</c:v>
                </c:pt>
                <c:pt idx="5">
                  <c:v>79.819999999999993</c:v>
                </c:pt>
                <c:pt idx="6">
                  <c:v>109.8</c:v>
                </c:pt>
                <c:pt idx="7">
                  <c:v>114.2</c:v>
                </c:pt>
                <c:pt idx="8">
                  <c:v>93.88</c:v>
                </c:pt>
                <c:pt idx="9">
                  <c:v>57.54</c:v>
                </c:pt>
                <c:pt idx="10">
                  <c:v>24.72</c:v>
                </c:pt>
                <c:pt idx="11">
                  <c:v>5.641</c:v>
                </c:pt>
                <c:pt idx="12">
                  <c:v>3.73</c:v>
                </c:pt>
                <c:pt idx="13">
                  <c:v>3.093</c:v>
                </c:pt>
                <c:pt idx="14">
                  <c:v>1.1359999999999999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07-43A9-95D3-EF4E8F073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783711"/>
        <c:axId val="2111782751"/>
      </c:scatterChart>
      <c:valAx>
        <c:axId val="211178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2751"/>
        <c:crosses val="autoZero"/>
        <c:crossBetween val="midCat"/>
      </c:valAx>
      <c:valAx>
        <c:axId val="21117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Fan Dose Rate uGy/s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results'!$E$4</c:f>
              <c:strCache>
                <c:ptCount val="1"/>
                <c:pt idx="0">
                  <c:v>100 kV</c:v>
                </c:pt>
              </c:strCache>
            </c:strRef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results'!$F$14:$F$30</c:f>
              <c:numCache>
                <c:formatCode>General</c:formatCode>
                <c:ptCount val="17"/>
                <c:pt idx="0">
                  <c:v>20.57</c:v>
                </c:pt>
                <c:pt idx="1">
                  <c:v>99.68</c:v>
                </c:pt>
                <c:pt idx="2">
                  <c:v>191.1</c:v>
                </c:pt>
                <c:pt idx="3">
                  <c:v>209.6</c:v>
                </c:pt>
                <c:pt idx="4">
                  <c:v>311.3</c:v>
                </c:pt>
                <c:pt idx="5">
                  <c:v>760.3</c:v>
                </c:pt>
                <c:pt idx="6">
                  <c:v>1112</c:v>
                </c:pt>
                <c:pt idx="7">
                  <c:v>1352</c:v>
                </c:pt>
                <c:pt idx="8">
                  <c:v>1459</c:v>
                </c:pt>
                <c:pt idx="9">
                  <c:v>1370</c:v>
                </c:pt>
                <c:pt idx="10">
                  <c:v>1120</c:v>
                </c:pt>
                <c:pt idx="11">
                  <c:v>776.4</c:v>
                </c:pt>
                <c:pt idx="12">
                  <c:v>329.5</c:v>
                </c:pt>
                <c:pt idx="13">
                  <c:v>209.6</c:v>
                </c:pt>
                <c:pt idx="14">
                  <c:v>191.1</c:v>
                </c:pt>
                <c:pt idx="15">
                  <c:v>99.68</c:v>
                </c:pt>
                <c:pt idx="16">
                  <c:v>20.57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7-4E4A-B19E-C7AF75DE67BC}"/>
            </c:ext>
          </c:extLst>
        </c:ser>
        <c:ser>
          <c:idx val="1"/>
          <c:order val="1"/>
          <c:tx>
            <c:strRef>
              <c:f>'Collated results'!$M$4</c:f>
              <c:strCache>
                <c:ptCount val="1"/>
                <c:pt idx="0">
                  <c:v>125 kV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results'!$N$14:$N$30</c:f>
              <c:numCache>
                <c:formatCode>General</c:formatCode>
                <c:ptCount val="17"/>
                <c:pt idx="2">
                  <c:v>3.2225000000000001</c:v>
                </c:pt>
                <c:pt idx="3">
                  <c:v>3.9474999999999998</c:v>
                </c:pt>
                <c:pt idx="4">
                  <c:v>8.7850000000000001</c:v>
                </c:pt>
                <c:pt idx="5">
                  <c:v>28.36</c:v>
                </c:pt>
                <c:pt idx="6">
                  <c:v>61.709999999999994</c:v>
                </c:pt>
                <c:pt idx="7">
                  <c:v>94.81</c:v>
                </c:pt>
                <c:pt idx="8">
                  <c:v>112</c:v>
                </c:pt>
                <c:pt idx="9">
                  <c:v>104.03999999999999</c:v>
                </c:pt>
                <c:pt idx="10">
                  <c:v>75.709999999999994</c:v>
                </c:pt>
                <c:pt idx="11">
                  <c:v>41.129999999999995</c:v>
                </c:pt>
                <c:pt idx="12">
                  <c:v>15.180499999999999</c:v>
                </c:pt>
                <c:pt idx="13">
                  <c:v>4.6855000000000002</c:v>
                </c:pt>
                <c:pt idx="14">
                  <c:v>3.4115000000000002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27-4E4A-B19E-C7AF75DE67BC}"/>
            </c:ext>
          </c:extLst>
        </c:ser>
        <c:ser>
          <c:idx val="2"/>
          <c:order val="2"/>
          <c:tx>
            <c:strRef>
              <c:f>'Collated results'!$T$4</c:f>
              <c:strCache>
                <c:ptCount val="1"/>
                <c:pt idx="0">
                  <c:v>80 kV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results'!$U$14:$U$30</c:f>
              <c:numCache>
                <c:formatCode>General</c:formatCode>
                <c:ptCount val="17"/>
                <c:pt idx="0">
                  <c:v>8.9</c:v>
                </c:pt>
                <c:pt idx="1">
                  <c:v>34.82</c:v>
                </c:pt>
                <c:pt idx="2">
                  <c:v>67.69</c:v>
                </c:pt>
                <c:pt idx="3">
                  <c:v>75.569999999999993</c:v>
                </c:pt>
                <c:pt idx="4">
                  <c:v>117.9</c:v>
                </c:pt>
                <c:pt idx="5">
                  <c:v>331.8</c:v>
                </c:pt>
                <c:pt idx="6">
                  <c:v>521.6</c:v>
                </c:pt>
                <c:pt idx="7">
                  <c:v>666</c:v>
                </c:pt>
                <c:pt idx="8">
                  <c:v>720.9</c:v>
                </c:pt>
                <c:pt idx="9">
                  <c:v>667.5</c:v>
                </c:pt>
                <c:pt idx="10">
                  <c:v>526</c:v>
                </c:pt>
                <c:pt idx="11">
                  <c:v>339.1</c:v>
                </c:pt>
                <c:pt idx="12">
                  <c:v>123.5</c:v>
                </c:pt>
                <c:pt idx="13">
                  <c:v>123.5</c:v>
                </c:pt>
                <c:pt idx="14">
                  <c:v>67.69</c:v>
                </c:pt>
                <c:pt idx="15">
                  <c:v>34.82</c:v>
                </c:pt>
                <c:pt idx="16">
                  <c:v>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27-4E4A-B19E-C7AF75DE6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HVL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results'!$E$4</c:f>
              <c:strCache>
                <c:ptCount val="1"/>
                <c:pt idx="0">
                  <c:v>100 kV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results'!$G$14:$G$30</c:f>
              <c:numCache>
                <c:formatCode>General</c:formatCode>
                <c:ptCount val="17"/>
                <c:pt idx="1">
                  <c:v>9.98</c:v>
                </c:pt>
                <c:pt idx="2">
                  <c:v>9.81</c:v>
                </c:pt>
                <c:pt idx="3">
                  <c:v>9.65</c:v>
                </c:pt>
                <c:pt idx="4">
                  <c:v>9.4</c:v>
                </c:pt>
                <c:pt idx="5">
                  <c:v>8.56</c:v>
                </c:pt>
                <c:pt idx="6">
                  <c:v>7.88</c:v>
                </c:pt>
                <c:pt idx="7">
                  <c:v>7.49</c:v>
                </c:pt>
                <c:pt idx="8">
                  <c:v>7.37</c:v>
                </c:pt>
                <c:pt idx="9">
                  <c:v>7.45</c:v>
                </c:pt>
                <c:pt idx="10">
                  <c:v>7.81</c:v>
                </c:pt>
                <c:pt idx="11">
                  <c:v>8.48</c:v>
                </c:pt>
                <c:pt idx="12">
                  <c:v>9.42</c:v>
                </c:pt>
                <c:pt idx="13">
                  <c:v>9.65</c:v>
                </c:pt>
                <c:pt idx="14">
                  <c:v>9.81</c:v>
                </c:pt>
                <c:pt idx="15">
                  <c:v>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8-4E9B-B9BB-2557CFBC5109}"/>
            </c:ext>
          </c:extLst>
        </c:ser>
        <c:ser>
          <c:idx val="1"/>
          <c:order val="1"/>
          <c:tx>
            <c:strRef>
              <c:f>'Collated results'!$M$4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results'!$O$14:$O$30</c:f>
              <c:numCache>
                <c:formatCode>General</c:formatCode>
                <c:ptCount val="17"/>
                <c:pt idx="6">
                  <c:v>3.84</c:v>
                </c:pt>
                <c:pt idx="7">
                  <c:v>3.72</c:v>
                </c:pt>
                <c:pt idx="8">
                  <c:v>3.74</c:v>
                </c:pt>
                <c:pt idx="9">
                  <c:v>3.87</c:v>
                </c:pt>
                <c:pt idx="10">
                  <c:v>4.05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78-4E9B-B9BB-2557CFBC5109}"/>
            </c:ext>
          </c:extLst>
        </c:ser>
        <c:ser>
          <c:idx val="2"/>
          <c:order val="2"/>
          <c:tx>
            <c:strRef>
              <c:f>'Collated results'!$T$4</c:f>
              <c:strCache>
                <c:ptCount val="1"/>
                <c:pt idx="0">
                  <c:v>80 kV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results'!$V$14:$V$30</c:f>
              <c:numCache>
                <c:formatCode>General</c:formatCode>
                <c:ptCount val="17"/>
                <c:pt idx="1">
                  <c:v>8.09</c:v>
                </c:pt>
                <c:pt idx="2">
                  <c:v>8.1199999999999992</c:v>
                </c:pt>
                <c:pt idx="3">
                  <c:v>8.0500000000000007</c:v>
                </c:pt>
                <c:pt idx="4">
                  <c:v>7.95</c:v>
                </c:pt>
                <c:pt idx="5">
                  <c:v>7.11</c:v>
                </c:pt>
                <c:pt idx="6">
                  <c:v>6.62</c:v>
                </c:pt>
                <c:pt idx="7">
                  <c:v>6.26</c:v>
                </c:pt>
                <c:pt idx="8">
                  <c:v>6.17</c:v>
                </c:pt>
                <c:pt idx="9">
                  <c:v>6.2</c:v>
                </c:pt>
                <c:pt idx="10">
                  <c:v>6.61</c:v>
                </c:pt>
                <c:pt idx="11">
                  <c:v>7.14</c:v>
                </c:pt>
                <c:pt idx="12">
                  <c:v>8.07</c:v>
                </c:pt>
                <c:pt idx="13">
                  <c:v>8.07</c:v>
                </c:pt>
                <c:pt idx="14">
                  <c:v>8.0500000000000007</c:v>
                </c:pt>
                <c:pt idx="15">
                  <c:v>8.1199999999999992</c:v>
                </c:pt>
                <c:pt idx="16">
                  <c:v>8.09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78-4E9B-B9BB-2557CFBC5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Half Fan Dose Rate uGy/s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results'!$AA$4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results'!$AB$14:$AB$30</c:f>
              <c:numCache>
                <c:formatCode>General</c:formatCode>
                <c:ptCount val="17"/>
                <c:pt idx="1">
                  <c:v>42.3</c:v>
                </c:pt>
                <c:pt idx="2">
                  <c:v>195.8</c:v>
                </c:pt>
                <c:pt idx="3">
                  <c:v>340.6</c:v>
                </c:pt>
                <c:pt idx="4">
                  <c:v>557.6</c:v>
                </c:pt>
                <c:pt idx="5">
                  <c:v>739.7</c:v>
                </c:pt>
                <c:pt idx="6">
                  <c:v>878.6</c:v>
                </c:pt>
                <c:pt idx="7">
                  <c:v>971.5</c:v>
                </c:pt>
                <c:pt idx="8">
                  <c:v>1018</c:v>
                </c:pt>
                <c:pt idx="9">
                  <c:v>1024</c:v>
                </c:pt>
                <c:pt idx="10">
                  <c:v>1039</c:v>
                </c:pt>
                <c:pt idx="11">
                  <c:v>1029</c:v>
                </c:pt>
                <c:pt idx="12">
                  <c:v>1007</c:v>
                </c:pt>
                <c:pt idx="13">
                  <c:v>1008</c:v>
                </c:pt>
                <c:pt idx="14">
                  <c:v>1008</c:v>
                </c:pt>
                <c:pt idx="15">
                  <c:v>1008</c:v>
                </c:pt>
                <c:pt idx="16">
                  <c:v>1008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61-434B-A4F3-70F0AF11514B}"/>
            </c:ext>
          </c:extLst>
        </c:ser>
        <c:ser>
          <c:idx val="1"/>
          <c:order val="1"/>
          <c:tx>
            <c:strRef>
              <c:f>'Collated results'!$AF$4</c:f>
              <c:strCache>
                <c:ptCount val="1"/>
                <c:pt idx="0">
                  <c:v>140  kV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results'!$AG$14:$AG$29</c:f>
              <c:numCache>
                <c:formatCode>0</c:formatCode>
                <c:ptCount val="16"/>
                <c:pt idx="1">
                  <c:v>72.78</c:v>
                </c:pt>
                <c:pt idx="2">
                  <c:v>352.9</c:v>
                </c:pt>
                <c:pt idx="3">
                  <c:v>605.5</c:v>
                </c:pt>
                <c:pt idx="4">
                  <c:v>963.7</c:v>
                </c:pt>
                <c:pt idx="5">
                  <c:v>1249</c:v>
                </c:pt>
                <c:pt idx="6">
                  <c:v>1471</c:v>
                </c:pt>
                <c:pt idx="7">
                  <c:v>1639</c:v>
                </c:pt>
                <c:pt idx="8">
                  <c:v>1706</c:v>
                </c:pt>
                <c:pt idx="9">
                  <c:v>1727</c:v>
                </c:pt>
                <c:pt idx="10">
                  <c:v>1730</c:v>
                </c:pt>
                <c:pt idx="11">
                  <c:v>1720</c:v>
                </c:pt>
                <c:pt idx="12">
                  <c:v>1704</c:v>
                </c:pt>
                <c:pt idx="13">
                  <c:v>1695</c:v>
                </c:pt>
                <c:pt idx="14">
                  <c:v>1695</c:v>
                </c:pt>
                <c:pt idx="15">
                  <c:v>1695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61-434B-A4F3-70F0AF115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HVL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results'!$AA$4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results'!$AC$14:$AC$30</c:f>
              <c:numCache>
                <c:formatCode>General</c:formatCode>
                <c:ptCount val="17"/>
                <c:pt idx="1">
                  <c:v>8.5890000000000004</c:v>
                </c:pt>
                <c:pt idx="2">
                  <c:v>10.571</c:v>
                </c:pt>
                <c:pt idx="3">
                  <c:v>9.9580000000000002</c:v>
                </c:pt>
                <c:pt idx="4">
                  <c:v>9.2040000000000006</c:v>
                </c:pt>
                <c:pt idx="5">
                  <c:v>8.8089999999999993</c:v>
                </c:pt>
                <c:pt idx="6">
                  <c:v>8.3529999999999998</c:v>
                </c:pt>
                <c:pt idx="7">
                  <c:v>8.1460000000000008</c:v>
                </c:pt>
                <c:pt idx="8">
                  <c:v>8.06</c:v>
                </c:pt>
                <c:pt idx="9">
                  <c:v>8.0440000000000005</c:v>
                </c:pt>
                <c:pt idx="10">
                  <c:v>8.1029999999999998</c:v>
                </c:pt>
                <c:pt idx="11">
                  <c:v>7.9050000000000002</c:v>
                </c:pt>
                <c:pt idx="12">
                  <c:v>8.17</c:v>
                </c:pt>
                <c:pt idx="13">
                  <c:v>7.891</c:v>
                </c:pt>
                <c:pt idx="14">
                  <c:v>7.891</c:v>
                </c:pt>
                <c:pt idx="15">
                  <c:v>7.891</c:v>
                </c:pt>
                <c:pt idx="16">
                  <c:v>7.891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0-4579-9D35-E00F5CF7404D}"/>
            </c:ext>
          </c:extLst>
        </c:ser>
        <c:ser>
          <c:idx val="1"/>
          <c:order val="1"/>
          <c:tx>
            <c:strRef>
              <c:f>'Collated results'!$AF$4</c:f>
              <c:strCache>
                <c:ptCount val="1"/>
                <c:pt idx="0">
                  <c:v>140  kV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results'!$AH$14:$AH$30</c:f>
              <c:numCache>
                <c:formatCode>General</c:formatCode>
                <c:ptCount val="17"/>
                <c:pt idx="1">
                  <c:v>9.7509999999999994</c:v>
                </c:pt>
                <c:pt idx="2">
                  <c:v>11.333</c:v>
                </c:pt>
                <c:pt idx="3">
                  <c:v>10.759</c:v>
                </c:pt>
                <c:pt idx="4">
                  <c:v>9.8930000000000007</c:v>
                </c:pt>
                <c:pt idx="5">
                  <c:v>9.4309999999999992</c:v>
                </c:pt>
                <c:pt idx="6">
                  <c:v>8.9930000000000003</c:v>
                </c:pt>
                <c:pt idx="7">
                  <c:v>8.6449999999999996</c:v>
                </c:pt>
                <c:pt idx="8">
                  <c:v>8.5389999999999997</c:v>
                </c:pt>
                <c:pt idx="9">
                  <c:v>8.6270000000000007</c:v>
                </c:pt>
                <c:pt idx="10">
                  <c:v>8.5820000000000007</c:v>
                </c:pt>
                <c:pt idx="11">
                  <c:v>8.6379999999999999</c:v>
                </c:pt>
                <c:pt idx="12">
                  <c:v>8.5920000000000005</c:v>
                </c:pt>
                <c:pt idx="13">
                  <c:v>8.5510000000000002</c:v>
                </c:pt>
                <c:pt idx="14">
                  <c:v>8.5510000000000002</c:v>
                </c:pt>
                <c:pt idx="15">
                  <c:v>8.5510000000000002</c:v>
                </c:pt>
                <c:pt idx="16">
                  <c:v>8.5510000000000002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4579-9D35-E00F5CF74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14</xdr:row>
      <xdr:rowOff>140970</xdr:rowOff>
    </xdr:from>
    <xdr:to>
      <xdr:col>13</xdr:col>
      <xdr:colOff>121920</xdr:colOff>
      <xdr:row>29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85B95-7F76-0F0A-C21A-54AF4F6A2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66274</xdr:colOff>
      <xdr:row>31</xdr:row>
      <xdr:rowOff>103214</xdr:rowOff>
    </xdr:from>
    <xdr:to>
      <xdr:col>18</xdr:col>
      <xdr:colOff>163845</xdr:colOff>
      <xdr:row>45</xdr:row>
      <xdr:rowOff>179414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100E2-12AB-FD36-1A6E-694AE5D14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83003</xdr:colOff>
      <xdr:row>46</xdr:row>
      <xdr:rowOff>68035</xdr:rowOff>
    </xdr:from>
    <xdr:to>
      <xdr:col>18</xdr:col>
      <xdr:colOff>180975</xdr:colOff>
      <xdr:row>60</xdr:row>
      <xdr:rowOff>144235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7711B8-2E02-4C30-AB50-042A2E78C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8004</xdr:colOff>
      <xdr:row>31</xdr:row>
      <xdr:rowOff>113660</xdr:rowOff>
    </xdr:from>
    <xdr:to>
      <xdr:col>30</xdr:col>
      <xdr:colOff>208029</xdr:colOff>
      <xdr:row>45</xdr:row>
      <xdr:rowOff>189860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5F0CAF-4D8C-4964-8B85-B1D034B5B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594633</xdr:colOff>
      <xdr:row>46</xdr:row>
      <xdr:rowOff>90487</xdr:rowOff>
    </xdr:from>
    <xdr:to>
      <xdr:col>30</xdr:col>
      <xdr:colOff>175534</xdr:colOff>
      <xdr:row>60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C85361-AB23-4278-AAA2-804C54801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ffrey Barber (Western Sydney LHD)" id="{26C7AE38-6408-41C2-9052-55BEC9777A62}" userId="S::Jeffrey.Barber@health.nsw.gov.au::fae71967-42c9-4d17-a7af-0678b060f80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6" dT="2023-10-27T00:11:43.69" personId="{26C7AE38-6408-41C2-9052-55BEC9777A62}" id="{DA2444F9-EE7D-487C-8C86-420CA11D8FAD}">
    <text>Interpolated from previous sheet for a 1cm asymmetry - setup error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3D4B-ACCF-4E0B-B597-CC2A966AA920}">
  <sheetPr codeName="Sheet1"/>
  <dimension ref="A1:S79"/>
  <sheetViews>
    <sheetView zoomScale="85" zoomScaleNormal="85" workbookViewId="0">
      <selection activeCell="V11" sqref="V11"/>
    </sheetView>
  </sheetViews>
  <sheetFormatPr defaultRowHeight="15" x14ac:dyDescent="0.25"/>
  <cols>
    <col min="1" max="1" width="10.5703125" bestFit="1" customWidth="1"/>
  </cols>
  <sheetData>
    <row r="1" spans="1:19" x14ac:dyDescent="0.25">
      <c r="A1" s="1">
        <v>45224</v>
      </c>
      <c r="B1" t="s">
        <v>42</v>
      </c>
    </row>
    <row r="2" spans="1:19" x14ac:dyDescent="0.25">
      <c r="B2" t="s">
        <v>0</v>
      </c>
    </row>
    <row r="3" spans="1:19" x14ac:dyDescent="0.25">
      <c r="B3" s="2" t="s">
        <v>1</v>
      </c>
    </row>
    <row r="5" spans="1:19" x14ac:dyDescent="0.25">
      <c r="A5" t="s">
        <v>3</v>
      </c>
    </row>
    <row r="6" spans="1:19" x14ac:dyDescent="0.25">
      <c r="A6" t="s">
        <v>2</v>
      </c>
    </row>
    <row r="7" spans="1:19" x14ac:dyDescent="0.25">
      <c r="A7" t="s">
        <v>10</v>
      </c>
      <c r="F7" t="s">
        <v>11</v>
      </c>
      <c r="G7" t="s">
        <v>12</v>
      </c>
      <c r="H7" t="s">
        <v>13</v>
      </c>
    </row>
    <row r="8" spans="1:19" x14ac:dyDescent="0.25">
      <c r="F8" t="s">
        <v>14</v>
      </c>
      <c r="G8" t="s">
        <v>15</v>
      </c>
      <c r="H8" t="s">
        <v>16</v>
      </c>
      <c r="I8" t="s">
        <v>17</v>
      </c>
    </row>
    <row r="9" spans="1:19" x14ac:dyDescent="0.25">
      <c r="A9" t="s">
        <v>24</v>
      </c>
      <c r="B9" t="s">
        <v>23</v>
      </c>
    </row>
    <row r="10" spans="1:19" x14ac:dyDescent="0.25">
      <c r="A10" t="s">
        <v>37</v>
      </c>
      <c r="B10" t="s">
        <v>18</v>
      </c>
      <c r="C10" t="s">
        <v>19</v>
      </c>
      <c r="O10" t="s">
        <v>36</v>
      </c>
    </row>
    <row r="11" spans="1:19" x14ac:dyDescent="0.25">
      <c r="A11" t="s">
        <v>20</v>
      </c>
      <c r="B11" t="s">
        <v>21</v>
      </c>
      <c r="C11" t="s">
        <v>22</v>
      </c>
      <c r="H11" t="s">
        <v>28</v>
      </c>
      <c r="O11" t="s">
        <v>37</v>
      </c>
      <c r="P11" t="s">
        <v>38</v>
      </c>
      <c r="S11" t="s">
        <v>40</v>
      </c>
    </row>
    <row r="12" spans="1:19" x14ac:dyDescent="0.25">
      <c r="A12" t="s">
        <v>58</v>
      </c>
      <c r="H12" t="s">
        <v>5</v>
      </c>
      <c r="I12" t="s">
        <v>6</v>
      </c>
      <c r="J12" t="s">
        <v>9</v>
      </c>
      <c r="K12" t="s">
        <v>7</v>
      </c>
      <c r="L12" t="s">
        <v>8</v>
      </c>
      <c r="O12" t="s">
        <v>39</v>
      </c>
    </row>
    <row r="13" spans="1:19" x14ac:dyDescent="0.25">
      <c r="B13" t="s">
        <v>5</v>
      </c>
      <c r="C13" t="s">
        <v>25</v>
      </c>
      <c r="D13" t="s">
        <v>26</v>
      </c>
      <c r="E13" t="s">
        <v>7</v>
      </c>
      <c r="F13" t="s">
        <v>8</v>
      </c>
      <c r="H13">
        <v>120.5</v>
      </c>
      <c r="I13">
        <v>6.5229999999999997</v>
      </c>
      <c r="O13" t="s">
        <v>5</v>
      </c>
      <c r="P13" t="s">
        <v>6</v>
      </c>
      <c r="Q13" t="s">
        <v>9</v>
      </c>
      <c r="R13" t="s">
        <v>7</v>
      </c>
      <c r="S13" t="s">
        <v>8</v>
      </c>
    </row>
    <row r="14" spans="1:19" x14ac:dyDescent="0.25">
      <c r="A14">
        <v>-16</v>
      </c>
      <c r="C14">
        <v>0.11799999999999999</v>
      </c>
      <c r="D14">
        <v>3</v>
      </c>
      <c r="O14">
        <v>125.7</v>
      </c>
      <c r="P14">
        <v>106.3</v>
      </c>
      <c r="Q14">
        <v>2.633</v>
      </c>
      <c r="R14">
        <v>8.4</v>
      </c>
    </row>
    <row r="15" spans="1:19" x14ac:dyDescent="0.25">
      <c r="A15">
        <v>-14</v>
      </c>
      <c r="C15">
        <v>0.13400000000000001</v>
      </c>
      <c r="D15">
        <v>3.4449999999999998</v>
      </c>
    </row>
    <row r="16" spans="1:19" x14ac:dyDescent="0.25">
      <c r="A16">
        <v>-12</v>
      </c>
      <c r="C16">
        <v>0.17799999999999999</v>
      </c>
      <c r="D16">
        <v>4.45</v>
      </c>
      <c r="O16" t="s">
        <v>41</v>
      </c>
    </row>
    <row r="17" spans="1:19" x14ac:dyDescent="0.25">
      <c r="A17">
        <v>-10</v>
      </c>
      <c r="C17">
        <v>0.52200000000000002</v>
      </c>
      <c r="D17">
        <v>13.12</v>
      </c>
      <c r="O17" t="s">
        <v>5</v>
      </c>
      <c r="P17" t="s">
        <v>6</v>
      </c>
      <c r="Q17" t="s">
        <v>9</v>
      </c>
      <c r="R17" t="s">
        <v>7</v>
      </c>
      <c r="S17" t="s">
        <v>8</v>
      </c>
    </row>
    <row r="18" spans="1:19" x14ac:dyDescent="0.25">
      <c r="A18">
        <v>-8</v>
      </c>
      <c r="C18">
        <v>1.73</v>
      </c>
      <c r="D18">
        <v>43.6</v>
      </c>
      <c r="O18">
        <v>124.5</v>
      </c>
      <c r="P18">
        <v>107.1</v>
      </c>
      <c r="Q18">
        <v>2.645</v>
      </c>
      <c r="R18">
        <v>8.42</v>
      </c>
    </row>
    <row r="19" spans="1:19" x14ac:dyDescent="0.25">
      <c r="A19">
        <v>-6</v>
      </c>
      <c r="C19">
        <v>3.1779999999999999</v>
      </c>
      <c r="D19">
        <v>79.819999999999993</v>
      </c>
      <c r="E19">
        <v>3.84</v>
      </c>
    </row>
    <row r="20" spans="1:19" x14ac:dyDescent="0.25">
      <c r="A20">
        <v>-4</v>
      </c>
      <c r="C20">
        <v>4.3860000000000001</v>
      </c>
      <c r="D20">
        <v>109.8</v>
      </c>
      <c r="E20">
        <v>3.72</v>
      </c>
    </row>
    <row r="21" spans="1:19" x14ac:dyDescent="0.25">
      <c r="A21">
        <v>-2</v>
      </c>
      <c r="C21">
        <v>4.5759999999999996</v>
      </c>
      <c r="D21">
        <v>114.2</v>
      </c>
      <c r="E21">
        <v>3.74</v>
      </c>
    </row>
    <row r="22" spans="1:19" x14ac:dyDescent="0.25">
      <c r="A22">
        <v>0</v>
      </c>
      <c r="C22">
        <v>3.7370000000000001</v>
      </c>
      <c r="D22">
        <v>93.88</v>
      </c>
      <c r="E22">
        <v>3.87</v>
      </c>
    </row>
    <row r="23" spans="1:19" x14ac:dyDescent="0.25">
      <c r="A23">
        <v>2</v>
      </c>
      <c r="C23">
        <v>2.2909999999999999</v>
      </c>
      <c r="D23">
        <v>57.54</v>
      </c>
      <c r="E23">
        <v>4.05</v>
      </c>
    </row>
    <row r="24" spans="1:19" x14ac:dyDescent="0.25">
      <c r="A24">
        <v>4</v>
      </c>
      <c r="C24">
        <v>0.98599999999999999</v>
      </c>
      <c r="D24">
        <v>24.72</v>
      </c>
    </row>
    <row r="25" spans="1:19" x14ac:dyDescent="0.25">
      <c r="A25">
        <v>6</v>
      </c>
      <c r="C25">
        <v>0.22500000000000001</v>
      </c>
      <c r="D25">
        <v>5.641</v>
      </c>
    </row>
    <row r="26" spans="1:19" x14ac:dyDescent="0.25">
      <c r="A26">
        <v>8</v>
      </c>
      <c r="C26">
        <v>0.151</v>
      </c>
      <c r="D26">
        <v>3.73</v>
      </c>
    </row>
    <row r="27" spans="1:19" x14ac:dyDescent="0.25">
      <c r="A27">
        <v>10</v>
      </c>
      <c r="C27">
        <v>0.123</v>
      </c>
      <c r="D27">
        <v>3.093</v>
      </c>
    </row>
    <row r="28" spans="1:19" x14ac:dyDescent="0.25">
      <c r="A28">
        <v>12</v>
      </c>
      <c r="C28">
        <v>4.9000000000000002E-2</v>
      </c>
      <c r="D28">
        <v>1.1359999999999999</v>
      </c>
    </row>
    <row r="29" spans="1:19" x14ac:dyDescent="0.25">
      <c r="A29">
        <v>14</v>
      </c>
      <c r="C29" t="s">
        <v>27</v>
      </c>
    </row>
    <row r="30" spans="1:19" x14ac:dyDescent="0.25">
      <c r="A30">
        <v>16</v>
      </c>
    </row>
    <row r="33" spans="1:12" x14ac:dyDescent="0.25">
      <c r="A33" t="s">
        <v>29</v>
      </c>
      <c r="B33" t="s">
        <v>30</v>
      </c>
      <c r="H33" t="s">
        <v>34</v>
      </c>
    </row>
    <row r="34" spans="1:12" x14ac:dyDescent="0.25">
      <c r="A34" t="s">
        <v>31</v>
      </c>
      <c r="B34" t="s">
        <v>18</v>
      </c>
      <c r="C34" t="s">
        <v>19</v>
      </c>
      <c r="H34" t="s">
        <v>5</v>
      </c>
      <c r="I34" t="s">
        <v>6</v>
      </c>
      <c r="J34" t="s">
        <v>9</v>
      </c>
      <c r="K34" t="s">
        <v>7</v>
      </c>
      <c r="L34" t="s">
        <v>8</v>
      </c>
    </row>
    <row r="35" spans="1:12" x14ac:dyDescent="0.25">
      <c r="A35" t="s">
        <v>20</v>
      </c>
      <c r="B35" t="s">
        <v>21</v>
      </c>
      <c r="C35" t="s">
        <v>22</v>
      </c>
      <c r="H35">
        <v>100.4</v>
      </c>
      <c r="I35">
        <v>112.8</v>
      </c>
      <c r="J35">
        <v>3.0219999999999998</v>
      </c>
      <c r="K35">
        <v>5.04</v>
      </c>
      <c r="L35">
        <v>4.7</v>
      </c>
    </row>
    <row r="36" spans="1:12" x14ac:dyDescent="0.25">
      <c r="A36" t="s">
        <v>4</v>
      </c>
    </row>
    <row r="37" spans="1:12" x14ac:dyDescent="0.25">
      <c r="B37" t="s">
        <v>5</v>
      </c>
      <c r="C37" t="s">
        <v>25</v>
      </c>
      <c r="D37" t="s">
        <v>26</v>
      </c>
      <c r="E37" t="s">
        <v>7</v>
      </c>
      <c r="F37" t="s">
        <v>8</v>
      </c>
    </row>
    <row r="38" spans="1:12" x14ac:dyDescent="0.25">
      <c r="A38">
        <v>-16</v>
      </c>
      <c r="C38">
        <v>0.82399999999999995</v>
      </c>
      <c r="D38">
        <v>20.57</v>
      </c>
    </row>
    <row r="39" spans="1:12" x14ac:dyDescent="0.25">
      <c r="A39">
        <v>-14</v>
      </c>
      <c r="C39">
        <v>3.9929999999999999</v>
      </c>
      <c r="D39">
        <v>99.68</v>
      </c>
      <c r="E39">
        <v>9.98</v>
      </c>
    </row>
    <row r="40" spans="1:12" x14ac:dyDescent="0.25">
      <c r="A40">
        <v>-12</v>
      </c>
      <c r="C40">
        <v>7.6449999999999996</v>
      </c>
      <c r="D40">
        <v>191.1</v>
      </c>
      <c r="E40">
        <v>9.81</v>
      </c>
    </row>
    <row r="41" spans="1:12" x14ac:dyDescent="0.25">
      <c r="A41">
        <v>-10</v>
      </c>
      <c r="C41">
        <v>8.4120000000000008</v>
      </c>
      <c r="D41">
        <v>209.6</v>
      </c>
      <c r="E41">
        <v>9.65</v>
      </c>
    </row>
    <row r="42" spans="1:12" x14ac:dyDescent="0.25">
      <c r="A42">
        <v>-8</v>
      </c>
      <c r="C42">
        <v>12.45</v>
      </c>
      <c r="D42">
        <v>311.3</v>
      </c>
      <c r="E42">
        <v>9.4</v>
      </c>
    </row>
    <row r="43" spans="1:12" x14ac:dyDescent="0.25">
      <c r="A43">
        <v>-6</v>
      </c>
      <c r="C43">
        <v>30.7</v>
      </c>
      <c r="D43">
        <v>760.3</v>
      </c>
      <c r="E43">
        <v>8.56</v>
      </c>
    </row>
    <row r="44" spans="1:12" x14ac:dyDescent="0.25">
      <c r="A44">
        <v>-4</v>
      </c>
      <c r="C44">
        <v>44.9</v>
      </c>
      <c r="D44">
        <v>1.1120000000000001</v>
      </c>
      <c r="E44">
        <v>7.88</v>
      </c>
    </row>
    <row r="45" spans="1:12" x14ac:dyDescent="0.25">
      <c r="A45">
        <v>-2</v>
      </c>
      <c r="C45">
        <v>54.68</v>
      </c>
      <c r="D45">
        <v>1.3520000000000001</v>
      </c>
      <c r="E45">
        <v>7.49</v>
      </c>
      <c r="F45">
        <v>14</v>
      </c>
    </row>
    <row r="46" spans="1:12" x14ac:dyDescent="0.25">
      <c r="A46">
        <v>0</v>
      </c>
      <c r="B46">
        <v>100.6</v>
      </c>
      <c r="C46">
        <v>59.01</v>
      </c>
      <c r="D46">
        <v>1.4590000000000001</v>
      </c>
      <c r="E46">
        <v>7.37</v>
      </c>
      <c r="F46">
        <v>13</v>
      </c>
    </row>
    <row r="47" spans="1:12" x14ac:dyDescent="0.25">
      <c r="A47">
        <v>2</v>
      </c>
      <c r="C47">
        <v>55.33</v>
      </c>
      <c r="D47">
        <v>1.37</v>
      </c>
      <c r="E47">
        <v>7.45</v>
      </c>
      <c r="F47">
        <v>13</v>
      </c>
    </row>
    <row r="48" spans="1:12" x14ac:dyDescent="0.25">
      <c r="A48">
        <v>4</v>
      </c>
      <c r="C48">
        <v>45.22</v>
      </c>
      <c r="D48">
        <v>1.1200000000000001</v>
      </c>
      <c r="E48">
        <v>7.81</v>
      </c>
    </row>
    <row r="49" spans="1:12" x14ac:dyDescent="0.25">
      <c r="A49">
        <v>6</v>
      </c>
      <c r="C49">
        <v>31.3</v>
      </c>
      <c r="D49">
        <v>776.4</v>
      </c>
      <c r="E49">
        <v>8.48</v>
      </c>
    </row>
    <row r="50" spans="1:12" x14ac:dyDescent="0.25">
      <c r="A50">
        <v>8</v>
      </c>
      <c r="C50">
        <v>13.16</v>
      </c>
      <c r="D50">
        <v>329.5</v>
      </c>
      <c r="E50">
        <v>9.42</v>
      </c>
    </row>
    <row r="51" spans="1:12" x14ac:dyDescent="0.25">
      <c r="A51">
        <v>10</v>
      </c>
    </row>
    <row r="52" spans="1:12" x14ac:dyDescent="0.25">
      <c r="A52">
        <v>12</v>
      </c>
    </row>
    <row r="53" spans="1:12" x14ac:dyDescent="0.25">
      <c r="A53">
        <v>14</v>
      </c>
      <c r="C53" t="s">
        <v>27</v>
      </c>
    </row>
    <row r="54" spans="1:12" x14ac:dyDescent="0.25">
      <c r="A54">
        <v>16</v>
      </c>
    </row>
    <row r="58" spans="1:12" x14ac:dyDescent="0.25">
      <c r="A58" t="s">
        <v>32</v>
      </c>
      <c r="B58" t="s">
        <v>30</v>
      </c>
      <c r="H58" t="s">
        <v>35</v>
      </c>
    </row>
    <row r="59" spans="1:12" x14ac:dyDescent="0.25">
      <c r="A59" t="s">
        <v>33</v>
      </c>
      <c r="B59" t="s">
        <v>18</v>
      </c>
      <c r="C59" t="s">
        <v>19</v>
      </c>
      <c r="H59" t="s">
        <v>5</v>
      </c>
      <c r="I59" t="s">
        <v>6</v>
      </c>
      <c r="J59" t="s">
        <v>9</v>
      </c>
      <c r="K59" t="s">
        <v>7</v>
      </c>
      <c r="L59" t="s">
        <v>8</v>
      </c>
    </row>
    <row r="60" spans="1:12" x14ac:dyDescent="0.25">
      <c r="A60" t="s">
        <v>20</v>
      </c>
      <c r="B60" t="s">
        <v>21</v>
      </c>
      <c r="C60" t="s">
        <v>22</v>
      </c>
      <c r="I60">
        <v>28.89</v>
      </c>
      <c r="J60">
        <v>717</v>
      </c>
      <c r="K60">
        <v>6.18</v>
      </c>
    </row>
    <row r="61" spans="1:12" x14ac:dyDescent="0.25">
      <c r="A61" t="s">
        <v>4</v>
      </c>
    </row>
    <row r="62" spans="1:12" x14ac:dyDescent="0.25">
      <c r="B62" t="s">
        <v>5</v>
      </c>
      <c r="C62" t="s">
        <v>25</v>
      </c>
      <c r="D62" t="s">
        <v>26</v>
      </c>
      <c r="E62" t="s">
        <v>7</v>
      </c>
      <c r="F62" t="s">
        <v>8</v>
      </c>
    </row>
    <row r="63" spans="1:12" x14ac:dyDescent="0.25">
      <c r="A63">
        <v>-16</v>
      </c>
      <c r="C63">
        <v>0.35</v>
      </c>
      <c r="D63">
        <v>8.9</v>
      </c>
    </row>
    <row r="64" spans="1:12" x14ac:dyDescent="0.25">
      <c r="A64">
        <v>-14</v>
      </c>
      <c r="C64">
        <v>1.3839999999999999</v>
      </c>
      <c r="D64">
        <v>34.82</v>
      </c>
      <c r="E64">
        <v>8.09</v>
      </c>
    </row>
    <row r="65" spans="1:5" x14ac:dyDescent="0.25">
      <c r="A65">
        <v>-12</v>
      </c>
      <c r="C65">
        <v>2.6949999999999998</v>
      </c>
      <c r="D65">
        <v>67.69</v>
      </c>
      <c r="E65">
        <v>8.1199999999999992</v>
      </c>
    </row>
    <row r="66" spans="1:5" x14ac:dyDescent="0.25">
      <c r="A66">
        <v>-10</v>
      </c>
      <c r="C66">
        <v>3.0129999999999999</v>
      </c>
      <c r="D66">
        <v>75.569999999999993</v>
      </c>
      <c r="E66">
        <v>8.0500000000000007</v>
      </c>
    </row>
    <row r="67" spans="1:5" x14ac:dyDescent="0.25">
      <c r="A67">
        <v>-8</v>
      </c>
      <c r="C67">
        <v>4.7</v>
      </c>
      <c r="D67">
        <v>117.9</v>
      </c>
      <c r="E67">
        <v>7.95</v>
      </c>
    </row>
    <row r="68" spans="1:5" x14ac:dyDescent="0.25">
      <c r="A68">
        <v>-6</v>
      </c>
      <c r="C68">
        <v>13.21</v>
      </c>
      <c r="D68">
        <v>331.8</v>
      </c>
      <c r="E68">
        <v>7.11</v>
      </c>
    </row>
    <row r="69" spans="1:5" x14ac:dyDescent="0.25">
      <c r="A69">
        <v>-4</v>
      </c>
      <c r="C69">
        <v>20.93</v>
      </c>
      <c r="D69">
        <v>521.6</v>
      </c>
      <c r="E69">
        <v>6.62</v>
      </c>
    </row>
    <row r="70" spans="1:5" x14ac:dyDescent="0.25">
      <c r="A70">
        <v>-2</v>
      </c>
      <c r="C70">
        <v>26.76</v>
      </c>
      <c r="D70">
        <v>666</v>
      </c>
      <c r="E70">
        <v>6.26</v>
      </c>
    </row>
    <row r="71" spans="1:5" x14ac:dyDescent="0.25">
      <c r="A71">
        <v>0</v>
      </c>
      <c r="C71">
        <v>29.92</v>
      </c>
      <c r="D71">
        <v>720.9</v>
      </c>
      <c r="E71">
        <v>6.17</v>
      </c>
    </row>
    <row r="72" spans="1:5" x14ac:dyDescent="0.25">
      <c r="A72">
        <v>2</v>
      </c>
      <c r="C72">
        <v>26.91</v>
      </c>
      <c r="D72">
        <v>667.5</v>
      </c>
      <c r="E72">
        <v>6.2</v>
      </c>
    </row>
    <row r="73" spans="1:5" x14ac:dyDescent="0.25">
      <c r="A73">
        <v>4</v>
      </c>
      <c r="C73">
        <v>21.1</v>
      </c>
      <c r="D73">
        <v>526</v>
      </c>
      <c r="E73">
        <v>6.61</v>
      </c>
    </row>
    <row r="74" spans="1:5" x14ac:dyDescent="0.25">
      <c r="A74">
        <v>6</v>
      </c>
      <c r="C74">
        <v>13.5</v>
      </c>
      <c r="D74">
        <v>339.1</v>
      </c>
      <c r="E74">
        <v>7.14</v>
      </c>
    </row>
    <row r="75" spans="1:5" x14ac:dyDescent="0.25">
      <c r="A75">
        <v>8</v>
      </c>
      <c r="C75">
        <v>4.9480000000000004</v>
      </c>
      <c r="D75">
        <v>123.5</v>
      </c>
      <c r="E75">
        <v>8.07</v>
      </c>
    </row>
    <row r="76" spans="1:5" x14ac:dyDescent="0.25">
      <c r="A76">
        <v>10</v>
      </c>
      <c r="C76" t="s">
        <v>27</v>
      </c>
    </row>
    <row r="77" spans="1:5" x14ac:dyDescent="0.25">
      <c r="A77">
        <v>12</v>
      </c>
    </row>
    <row r="78" spans="1:5" x14ac:dyDescent="0.25">
      <c r="A78">
        <v>14</v>
      </c>
      <c r="C78" t="s">
        <v>27</v>
      </c>
    </row>
    <row r="79" spans="1:5" x14ac:dyDescent="0.25">
      <c r="A79">
        <v>16</v>
      </c>
    </row>
  </sheetData>
  <sortState xmlns:xlrd2="http://schemas.microsoft.com/office/spreadsheetml/2017/richdata2" ref="A14:F30">
    <sortCondition ref="A14:A30"/>
  </sortState>
  <pageMargins left="0.7" right="0.7" top="0.75" bottom="0.75" header="0.3" footer="0.3"/>
  <pageSetup paperSize="9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8C1D-387E-4686-9619-31FEE0F9CD52}">
  <sheetPr codeName="Sheet2"/>
  <dimension ref="C1:AP74"/>
  <sheetViews>
    <sheetView tabSelected="1" topLeftCell="E1" zoomScaleNormal="100" workbookViewId="0">
      <selection activeCell="AF37" sqref="AF37"/>
    </sheetView>
  </sheetViews>
  <sheetFormatPr defaultRowHeight="15" x14ac:dyDescent="0.25"/>
  <cols>
    <col min="5" max="5" width="12" customWidth="1"/>
    <col min="13" max="13" width="12" customWidth="1"/>
    <col min="20" max="20" width="11.85546875" customWidth="1"/>
  </cols>
  <sheetData>
    <row r="1" spans="3:42" x14ac:dyDescent="0.25">
      <c r="E1" t="s">
        <v>62</v>
      </c>
      <c r="AN1" s="5"/>
      <c r="AO1" s="6"/>
      <c r="AP1" s="7"/>
    </row>
    <row r="2" spans="3:42" x14ac:dyDescent="0.25">
      <c r="E2" s="1">
        <v>45224</v>
      </c>
      <c r="M2" s="1">
        <v>45224</v>
      </c>
      <c r="T2" s="1">
        <v>45224</v>
      </c>
      <c r="AA2" s="14">
        <v>44774</v>
      </c>
      <c r="AF2" s="14">
        <v>44774</v>
      </c>
      <c r="AN2" s="8"/>
      <c r="AP2" s="9"/>
    </row>
    <row r="3" spans="3:42" x14ac:dyDescent="0.25">
      <c r="C3" t="s">
        <v>43</v>
      </c>
      <c r="E3" t="s">
        <v>44</v>
      </c>
      <c r="M3" t="s">
        <v>45</v>
      </c>
      <c r="T3" t="s">
        <v>46</v>
      </c>
      <c r="AA3" t="s">
        <v>36</v>
      </c>
      <c r="AF3" t="s">
        <v>66</v>
      </c>
      <c r="AN3" s="8"/>
      <c r="AP3" s="10"/>
    </row>
    <row r="4" spans="3:42" x14ac:dyDescent="0.25">
      <c r="C4" t="s">
        <v>47</v>
      </c>
      <c r="E4" s="23" t="s">
        <v>67</v>
      </c>
      <c r="F4" s="2"/>
      <c r="G4" s="2"/>
      <c r="H4" s="2"/>
      <c r="I4" s="2"/>
      <c r="J4" s="2"/>
      <c r="K4" s="2"/>
      <c r="L4" s="2"/>
      <c r="M4" s="2" t="s">
        <v>68</v>
      </c>
      <c r="N4" s="2"/>
      <c r="O4" s="2"/>
      <c r="P4" s="2"/>
      <c r="Q4" s="2"/>
      <c r="R4" s="2"/>
      <c r="S4" s="2"/>
      <c r="T4" s="24" t="s">
        <v>69</v>
      </c>
      <c r="U4" s="2"/>
      <c r="V4" s="2"/>
      <c r="W4" s="2"/>
      <c r="X4" s="2"/>
      <c r="Y4" s="2"/>
      <c r="Z4" s="2"/>
      <c r="AA4" s="2" t="s">
        <v>68</v>
      </c>
      <c r="AB4" s="2"/>
      <c r="AC4" s="2"/>
      <c r="AD4" s="2"/>
      <c r="AE4" s="2"/>
      <c r="AF4" s="25" t="s">
        <v>70</v>
      </c>
      <c r="AN4" s="8"/>
      <c r="AP4" s="10"/>
    </row>
    <row r="5" spans="3:42" x14ac:dyDescent="0.25">
      <c r="C5" t="s">
        <v>48</v>
      </c>
      <c r="E5" s="4" t="s">
        <v>56</v>
      </c>
      <c r="M5" s="4" t="s">
        <v>56</v>
      </c>
      <c r="T5" s="4" t="s">
        <v>56</v>
      </c>
      <c r="AA5" s="22" t="s">
        <v>63</v>
      </c>
      <c r="AB5" s="22"/>
      <c r="AC5" s="22"/>
      <c r="AD5" s="22"/>
      <c r="AE5" s="22"/>
      <c r="AF5" s="22" t="s">
        <v>63</v>
      </c>
      <c r="AN5" s="8"/>
      <c r="AP5" s="10"/>
    </row>
    <row r="6" spans="3:42" x14ac:dyDescent="0.25">
      <c r="C6" t="s">
        <v>49</v>
      </c>
      <c r="E6" t="s">
        <v>55</v>
      </c>
      <c r="M6" t="s">
        <v>55</v>
      </c>
      <c r="T6" t="s">
        <v>55</v>
      </c>
      <c r="AA6" t="s">
        <v>55</v>
      </c>
      <c r="AF6" t="s">
        <v>55</v>
      </c>
      <c r="AN6" s="8"/>
      <c r="AP6" s="9"/>
    </row>
    <row r="7" spans="3:42" x14ac:dyDescent="0.25">
      <c r="C7" t="s">
        <v>50</v>
      </c>
      <c r="E7" t="s">
        <v>57</v>
      </c>
      <c r="G7" t="s">
        <v>76</v>
      </c>
      <c r="M7" t="s">
        <v>57</v>
      </c>
      <c r="O7" t="s">
        <v>76</v>
      </c>
      <c r="T7" t="s">
        <v>57</v>
      </c>
      <c r="V7" t="s">
        <v>76</v>
      </c>
      <c r="AA7" t="s">
        <v>64</v>
      </c>
      <c r="AF7" t="s">
        <v>64</v>
      </c>
      <c r="AN7" s="8"/>
      <c r="AP7" s="10"/>
    </row>
    <row r="8" spans="3:42" x14ac:dyDescent="0.25">
      <c r="C8" t="s">
        <v>51</v>
      </c>
      <c r="E8">
        <v>40</v>
      </c>
      <c r="G8" t="s">
        <v>77</v>
      </c>
      <c r="H8">
        <v>15</v>
      </c>
      <c r="M8">
        <v>40</v>
      </c>
      <c r="O8" t="s">
        <v>77</v>
      </c>
      <c r="P8">
        <v>60</v>
      </c>
      <c r="T8">
        <v>40</v>
      </c>
      <c r="V8" t="s">
        <v>77</v>
      </c>
      <c r="W8">
        <v>10</v>
      </c>
      <c r="AA8">
        <v>60</v>
      </c>
      <c r="AF8">
        <v>75</v>
      </c>
      <c r="AN8" s="8"/>
      <c r="AP8" s="10"/>
    </row>
    <row r="9" spans="3:42" ht="14.45" customHeight="1" x14ac:dyDescent="0.25">
      <c r="C9" t="s">
        <v>52</v>
      </c>
      <c r="E9">
        <v>40</v>
      </c>
      <c r="G9" t="s">
        <v>78</v>
      </c>
      <c r="H9">
        <v>20</v>
      </c>
      <c r="M9">
        <v>40</v>
      </c>
      <c r="O9" t="s">
        <v>78</v>
      </c>
      <c r="P9">
        <v>25</v>
      </c>
      <c r="T9">
        <v>40</v>
      </c>
      <c r="V9" t="s">
        <v>78</v>
      </c>
      <c r="W9">
        <v>20</v>
      </c>
      <c r="AA9">
        <v>20</v>
      </c>
      <c r="AF9">
        <v>25</v>
      </c>
      <c r="AN9" s="8"/>
      <c r="AP9" s="10"/>
    </row>
    <row r="10" spans="3:42" ht="14.45" customHeight="1" x14ac:dyDescent="0.25">
      <c r="C10" t="s">
        <v>53</v>
      </c>
      <c r="E10" t="s">
        <v>54</v>
      </c>
      <c r="G10" t="s">
        <v>79</v>
      </c>
      <c r="H10">
        <v>15</v>
      </c>
      <c r="M10" t="s">
        <v>54</v>
      </c>
      <c r="O10" t="s">
        <v>79</v>
      </c>
      <c r="P10">
        <v>15</v>
      </c>
      <c r="T10" t="s">
        <v>54</v>
      </c>
      <c r="V10" t="s">
        <v>79</v>
      </c>
      <c r="W10">
        <v>15</v>
      </c>
      <c r="AA10" t="s">
        <v>54</v>
      </c>
      <c r="AF10" t="s">
        <v>54</v>
      </c>
      <c r="AN10" s="8"/>
      <c r="AP10" s="10"/>
    </row>
    <row r="11" spans="3:42" ht="14.45" customHeight="1" x14ac:dyDescent="0.25">
      <c r="I11" s="27" t="s">
        <v>73</v>
      </c>
      <c r="AB11" s="2" t="s">
        <v>74</v>
      </c>
      <c r="AG11" s="2" t="s">
        <v>74</v>
      </c>
      <c r="AN11" s="8"/>
      <c r="AP11" s="10"/>
    </row>
    <row r="12" spans="3:42" ht="14.45" customHeight="1" x14ac:dyDescent="0.25">
      <c r="C12" t="s">
        <v>59</v>
      </c>
      <c r="I12" s="27"/>
      <c r="M12" s="26" t="s">
        <v>72</v>
      </c>
      <c r="N12" s="26"/>
      <c r="O12" s="26"/>
      <c r="AB12" t="s">
        <v>65</v>
      </c>
      <c r="AG12" t="s">
        <v>65</v>
      </c>
      <c r="AN12" s="8"/>
      <c r="AP12" s="10"/>
    </row>
    <row r="13" spans="3:42" ht="14.45" customHeight="1" x14ac:dyDescent="0.25">
      <c r="C13" s="3" t="s">
        <v>60</v>
      </c>
      <c r="E13" t="s">
        <v>25</v>
      </c>
      <c r="F13" t="s">
        <v>26</v>
      </c>
      <c r="G13" t="s">
        <v>61</v>
      </c>
      <c r="I13" s="27"/>
      <c r="J13" s="2" t="s">
        <v>75</v>
      </c>
      <c r="K13" s="2" t="s">
        <v>80</v>
      </c>
      <c r="M13" t="s">
        <v>25</v>
      </c>
      <c r="N13" t="s">
        <v>26</v>
      </c>
      <c r="O13" t="s">
        <v>61</v>
      </c>
      <c r="Q13" s="2" t="s">
        <v>75</v>
      </c>
      <c r="R13" s="2" t="s">
        <v>80</v>
      </c>
      <c r="T13" t="s">
        <v>25</v>
      </c>
      <c r="U13" t="s">
        <v>26</v>
      </c>
      <c r="V13" t="s">
        <v>61</v>
      </c>
      <c r="X13" s="2" t="s">
        <v>75</v>
      </c>
      <c r="Y13" s="2" t="s">
        <v>80</v>
      </c>
      <c r="AA13" t="s">
        <v>25</v>
      </c>
      <c r="AB13" t="s">
        <v>26</v>
      </c>
      <c r="AC13" t="s">
        <v>61</v>
      </c>
      <c r="AF13" t="s">
        <v>25</v>
      </c>
      <c r="AG13" t="s">
        <v>26</v>
      </c>
      <c r="AH13" t="s">
        <v>61</v>
      </c>
      <c r="AN13" s="8"/>
      <c r="AP13" s="10"/>
    </row>
    <row r="14" spans="3:42" x14ac:dyDescent="0.25">
      <c r="C14">
        <v>-16</v>
      </c>
      <c r="E14">
        <v>0.82399999999999995</v>
      </c>
      <c r="F14">
        <v>20.57</v>
      </c>
      <c r="I14">
        <f>E14*(1000/40)</f>
        <v>20.599999999999998</v>
      </c>
      <c r="J14">
        <f t="shared" ref="J14:J30" si="0">E14/(E$8*E$9/1000)</f>
        <v>0.5149999999999999</v>
      </c>
      <c r="K14">
        <f t="shared" ref="K14:K30" si="1">J14*(H$8*H$9/1000)*H$10</f>
        <v>2.3174999999999994</v>
      </c>
      <c r="M14">
        <v>0.11799999999999999</v>
      </c>
      <c r="Q14">
        <f t="shared" ref="Q14:Q30" si="2">M14/(M$8*M$9/1000)</f>
        <v>7.3749999999999996E-2</v>
      </c>
      <c r="R14">
        <f t="shared" ref="R14:R30" si="3">Q14*(P$8*P$9/1000)*P$10</f>
        <v>1.659375</v>
      </c>
      <c r="T14">
        <v>0.35</v>
      </c>
      <c r="U14">
        <v>8.9</v>
      </c>
      <c r="X14">
        <f t="shared" ref="X14:X30" si="4">T14/(T$8*T$9/1000)</f>
        <v>0.21874999999999997</v>
      </c>
      <c r="Y14">
        <f t="shared" ref="Y14:Y30" si="5">X14*(W$8*W$9/1000)*W$10</f>
        <v>0.65625</v>
      </c>
      <c r="AB14" s="16"/>
      <c r="AC14" s="15"/>
      <c r="AD14" s="15"/>
      <c r="AH14" s="15"/>
      <c r="AN14" s="8"/>
      <c r="AP14" s="10"/>
    </row>
    <row r="15" spans="3:42" x14ac:dyDescent="0.25">
      <c r="C15">
        <v>-14</v>
      </c>
      <c r="E15">
        <v>3.9929999999999999</v>
      </c>
      <c r="F15">
        <v>99.68</v>
      </c>
      <c r="G15">
        <v>9.98</v>
      </c>
      <c r="I15">
        <f t="shared" ref="I15:I26" si="6">E15*(1000/40)</f>
        <v>99.825000000000003</v>
      </c>
      <c r="J15">
        <f t="shared" si="0"/>
        <v>2.495625</v>
      </c>
      <c r="K15">
        <f t="shared" si="1"/>
        <v>11.2303125</v>
      </c>
      <c r="M15">
        <v>0.13400000000000001</v>
      </c>
      <c r="Q15">
        <f t="shared" si="2"/>
        <v>8.3750000000000005E-2</v>
      </c>
      <c r="R15">
        <f t="shared" si="3"/>
        <v>1.8843750000000001</v>
      </c>
      <c r="T15">
        <v>1.3839999999999999</v>
      </c>
      <c r="U15">
        <v>34.82</v>
      </c>
      <c r="V15">
        <v>8.09</v>
      </c>
      <c r="X15">
        <f t="shared" si="4"/>
        <v>0.86499999999999988</v>
      </c>
      <c r="Y15">
        <f t="shared" si="5"/>
        <v>2.5949999999999998</v>
      </c>
      <c r="AB15">
        <v>42.3</v>
      </c>
      <c r="AC15">
        <v>8.5890000000000004</v>
      </c>
      <c r="AG15" s="16">
        <v>72.78</v>
      </c>
      <c r="AH15" s="10">
        <v>9.7509999999999994</v>
      </c>
      <c r="AN15" s="8"/>
      <c r="AP15" s="10"/>
    </row>
    <row r="16" spans="3:42" x14ac:dyDescent="0.25">
      <c r="C16">
        <v>-12</v>
      </c>
      <c r="E16">
        <v>7.6449999999999996</v>
      </c>
      <c r="F16">
        <v>191.1</v>
      </c>
      <c r="G16">
        <v>9.81</v>
      </c>
      <c r="I16">
        <f t="shared" si="6"/>
        <v>191.125</v>
      </c>
      <c r="J16">
        <f t="shared" si="0"/>
        <v>4.7781249999999993</v>
      </c>
      <c r="K16">
        <f t="shared" si="1"/>
        <v>21.501562499999995</v>
      </c>
      <c r="M16">
        <v>0.17799999999999999</v>
      </c>
      <c r="N16">
        <v>3.2225000000000001</v>
      </c>
      <c r="Q16">
        <f t="shared" si="2"/>
        <v>0.11124999999999999</v>
      </c>
      <c r="R16">
        <f t="shared" si="3"/>
        <v>2.5031249999999998</v>
      </c>
      <c r="T16">
        <v>2.6949999999999998</v>
      </c>
      <c r="U16">
        <v>67.69</v>
      </c>
      <c r="V16">
        <v>8.1199999999999992</v>
      </c>
      <c r="X16">
        <f t="shared" si="4"/>
        <v>1.6843749999999997</v>
      </c>
      <c r="Y16">
        <f t="shared" si="5"/>
        <v>5.0531249999999996</v>
      </c>
      <c r="AB16">
        <v>195.8</v>
      </c>
      <c r="AC16">
        <v>10.571</v>
      </c>
      <c r="AG16" s="16">
        <v>352.9</v>
      </c>
      <c r="AH16" s="10">
        <v>11.333</v>
      </c>
      <c r="AN16" s="8"/>
      <c r="AP16" s="10"/>
    </row>
    <row r="17" spans="3:42" x14ac:dyDescent="0.25">
      <c r="C17">
        <v>-10</v>
      </c>
      <c r="E17">
        <v>8.4120000000000008</v>
      </c>
      <c r="F17">
        <v>209.6</v>
      </c>
      <c r="G17">
        <v>9.65</v>
      </c>
      <c r="I17">
        <f t="shared" si="6"/>
        <v>210.3</v>
      </c>
      <c r="J17">
        <f t="shared" si="0"/>
        <v>5.2575000000000003</v>
      </c>
      <c r="K17">
        <f t="shared" si="1"/>
        <v>23.658750000000001</v>
      </c>
      <c r="M17">
        <v>0.52200000000000002</v>
      </c>
      <c r="N17">
        <v>3.9474999999999998</v>
      </c>
      <c r="Q17">
        <f t="shared" si="2"/>
        <v>0.32624999999999998</v>
      </c>
      <c r="R17">
        <f t="shared" si="3"/>
        <v>7.3406250000000002</v>
      </c>
      <c r="T17">
        <v>3.0129999999999999</v>
      </c>
      <c r="U17">
        <v>75.569999999999993</v>
      </c>
      <c r="V17">
        <v>8.0500000000000007</v>
      </c>
      <c r="X17">
        <f t="shared" si="4"/>
        <v>1.8831249999999999</v>
      </c>
      <c r="Y17">
        <f t="shared" si="5"/>
        <v>5.649375</v>
      </c>
      <c r="AB17">
        <v>340.6</v>
      </c>
      <c r="AC17">
        <v>9.9580000000000002</v>
      </c>
      <c r="AG17" s="16">
        <v>605.5</v>
      </c>
      <c r="AH17" s="10">
        <v>10.759</v>
      </c>
      <c r="AN17" s="8"/>
      <c r="AP17" s="10"/>
    </row>
    <row r="18" spans="3:42" x14ac:dyDescent="0.25">
      <c r="C18">
        <v>-8</v>
      </c>
      <c r="E18">
        <v>12.45</v>
      </c>
      <c r="F18">
        <v>311.3</v>
      </c>
      <c r="G18">
        <v>9.4</v>
      </c>
      <c r="I18">
        <f t="shared" si="6"/>
        <v>311.25</v>
      </c>
      <c r="J18">
        <f t="shared" si="0"/>
        <v>7.7812499999999991</v>
      </c>
      <c r="K18">
        <f t="shared" si="1"/>
        <v>35.015624999999993</v>
      </c>
      <c r="M18">
        <v>1.73</v>
      </c>
      <c r="N18">
        <v>8.7850000000000001</v>
      </c>
      <c r="Q18">
        <f t="shared" si="2"/>
        <v>1.0812499999999998</v>
      </c>
      <c r="R18">
        <f t="shared" si="3"/>
        <v>24.328124999999996</v>
      </c>
      <c r="T18">
        <v>4.7</v>
      </c>
      <c r="U18">
        <v>117.9</v>
      </c>
      <c r="V18">
        <v>7.95</v>
      </c>
      <c r="X18">
        <f t="shared" si="4"/>
        <v>2.9375</v>
      </c>
      <c r="Y18">
        <f t="shared" si="5"/>
        <v>8.8125</v>
      </c>
      <c r="AB18">
        <v>557.6</v>
      </c>
      <c r="AC18">
        <v>9.2040000000000006</v>
      </c>
      <c r="AG18" s="16">
        <v>963.7</v>
      </c>
      <c r="AH18" s="10">
        <v>9.8930000000000007</v>
      </c>
      <c r="AN18" s="8"/>
      <c r="AP18" s="10"/>
    </row>
    <row r="19" spans="3:42" x14ac:dyDescent="0.25">
      <c r="C19">
        <v>-6</v>
      </c>
      <c r="E19">
        <v>30.7</v>
      </c>
      <c r="F19">
        <v>760.3</v>
      </c>
      <c r="G19">
        <v>8.56</v>
      </c>
      <c r="I19">
        <f t="shared" si="6"/>
        <v>767.5</v>
      </c>
      <c r="J19">
        <f t="shared" si="0"/>
        <v>19.1875</v>
      </c>
      <c r="K19">
        <f t="shared" si="1"/>
        <v>86.34375</v>
      </c>
      <c r="M19">
        <v>3.1779999999999999</v>
      </c>
      <c r="N19">
        <v>28.36</v>
      </c>
      <c r="Q19">
        <f t="shared" si="2"/>
        <v>1.9862499999999998</v>
      </c>
      <c r="R19">
        <f t="shared" si="3"/>
        <v>44.690624999999997</v>
      </c>
      <c r="T19">
        <v>13.21</v>
      </c>
      <c r="U19">
        <v>331.8</v>
      </c>
      <c r="V19">
        <v>7.11</v>
      </c>
      <c r="X19">
        <f t="shared" si="4"/>
        <v>8.2562499999999996</v>
      </c>
      <c r="Y19">
        <f t="shared" si="5"/>
        <v>24.768750000000001</v>
      </c>
      <c r="AB19">
        <v>739.7</v>
      </c>
      <c r="AC19">
        <v>8.8089999999999993</v>
      </c>
      <c r="AG19" s="16">
        <v>1249</v>
      </c>
      <c r="AH19" s="10">
        <v>9.4309999999999992</v>
      </c>
      <c r="AN19" s="8"/>
      <c r="AP19" s="10"/>
    </row>
    <row r="20" spans="3:42" x14ac:dyDescent="0.25">
      <c r="C20">
        <v>-4</v>
      </c>
      <c r="E20">
        <v>44.9</v>
      </c>
      <c r="F20">
        <v>1112</v>
      </c>
      <c r="G20">
        <v>7.88</v>
      </c>
      <c r="I20">
        <f t="shared" si="6"/>
        <v>1122.5</v>
      </c>
      <c r="J20">
        <f t="shared" si="0"/>
        <v>28.062499999999996</v>
      </c>
      <c r="K20">
        <f t="shared" si="1"/>
        <v>126.28124999999999</v>
      </c>
      <c r="M20">
        <v>4.3860000000000001</v>
      </c>
      <c r="N20">
        <v>61.709999999999994</v>
      </c>
      <c r="O20">
        <v>3.84</v>
      </c>
      <c r="Q20">
        <f t="shared" si="2"/>
        <v>2.74125</v>
      </c>
      <c r="R20">
        <f t="shared" si="3"/>
        <v>61.678124999999994</v>
      </c>
      <c r="T20">
        <v>20.93</v>
      </c>
      <c r="U20">
        <v>521.6</v>
      </c>
      <c r="V20">
        <v>6.62</v>
      </c>
      <c r="X20">
        <f t="shared" si="4"/>
        <v>13.081249999999999</v>
      </c>
      <c r="Y20">
        <f t="shared" si="5"/>
        <v>39.243749999999999</v>
      </c>
      <c r="AB20">
        <v>878.6</v>
      </c>
      <c r="AC20">
        <v>8.3529999999999998</v>
      </c>
      <c r="AG20" s="16">
        <v>1471</v>
      </c>
      <c r="AH20" s="10">
        <v>8.9930000000000003</v>
      </c>
      <c r="AN20" s="8"/>
      <c r="AP20" s="10"/>
    </row>
    <row r="21" spans="3:42" x14ac:dyDescent="0.25">
      <c r="C21">
        <v>-2</v>
      </c>
      <c r="E21">
        <v>54.68</v>
      </c>
      <c r="F21">
        <v>1352</v>
      </c>
      <c r="G21">
        <v>7.49</v>
      </c>
      <c r="I21">
        <f t="shared" si="6"/>
        <v>1367</v>
      </c>
      <c r="J21">
        <f t="shared" si="0"/>
        <v>34.174999999999997</v>
      </c>
      <c r="K21">
        <f t="shared" si="1"/>
        <v>153.78749999999999</v>
      </c>
      <c r="M21">
        <v>4.5759999999999996</v>
      </c>
      <c r="N21">
        <v>94.81</v>
      </c>
      <c r="O21">
        <v>3.72</v>
      </c>
      <c r="Q21">
        <f t="shared" si="2"/>
        <v>2.8599999999999994</v>
      </c>
      <c r="R21">
        <f t="shared" si="3"/>
        <v>64.349999999999994</v>
      </c>
      <c r="T21">
        <v>26.76</v>
      </c>
      <c r="U21">
        <v>666</v>
      </c>
      <c r="V21">
        <v>6.26</v>
      </c>
      <c r="X21">
        <f t="shared" si="4"/>
        <v>16.725000000000001</v>
      </c>
      <c r="Y21">
        <f t="shared" si="5"/>
        <v>50.175000000000011</v>
      </c>
      <c r="AB21">
        <v>971.5</v>
      </c>
      <c r="AC21">
        <v>8.1460000000000008</v>
      </c>
      <c r="AG21" s="16">
        <v>1639</v>
      </c>
      <c r="AH21" s="10">
        <v>8.6449999999999996</v>
      </c>
      <c r="AN21" s="8"/>
      <c r="AP21" s="10"/>
    </row>
    <row r="22" spans="3:42" x14ac:dyDescent="0.25">
      <c r="C22">
        <v>0</v>
      </c>
      <c r="E22">
        <v>59.01</v>
      </c>
      <c r="F22">
        <v>1459</v>
      </c>
      <c r="G22">
        <v>7.37</v>
      </c>
      <c r="I22">
        <f t="shared" si="6"/>
        <v>1475.25</v>
      </c>
      <c r="J22">
        <f t="shared" si="0"/>
        <v>36.881249999999994</v>
      </c>
      <c r="K22">
        <f t="shared" si="1"/>
        <v>165.96562499999999</v>
      </c>
      <c r="M22">
        <v>3.7370000000000001</v>
      </c>
      <c r="N22">
        <v>112</v>
      </c>
      <c r="O22">
        <v>3.74</v>
      </c>
      <c r="Q22">
        <f t="shared" si="2"/>
        <v>2.3356249999999998</v>
      </c>
      <c r="R22">
        <f t="shared" si="3"/>
        <v>52.551562499999996</v>
      </c>
      <c r="T22">
        <v>29.92</v>
      </c>
      <c r="U22">
        <v>720.9</v>
      </c>
      <c r="V22">
        <v>6.17</v>
      </c>
      <c r="X22">
        <f t="shared" si="4"/>
        <v>18.7</v>
      </c>
      <c r="Y22">
        <f t="shared" si="5"/>
        <v>56.1</v>
      </c>
      <c r="AB22">
        <v>1018</v>
      </c>
      <c r="AC22">
        <v>8.06</v>
      </c>
      <c r="AG22" s="16">
        <v>1706</v>
      </c>
      <c r="AH22" s="10">
        <v>8.5389999999999997</v>
      </c>
      <c r="AN22" s="8"/>
      <c r="AP22" s="10"/>
    </row>
    <row r="23" spans="3:42" x14ac:dyDescent="0.25">
      <c r="C23">
        <v>2</v>
      </c>
      <c r="E23">
        <v>55.33</v>
      </c>
      <c r="F23">
        <v>1370</v>
      </c>
      <c r="G23">
        <v>7.45</v>
      </c>
      <c r="I23">
        <f t="shared" si="6"/>
        <v>1383.25</v>
      </c>
      <c r="J23">
        <f t="shared" si="0"/>
        <v>34.581249999999997</v>
      </c>
      <c r="K23">
        <f t="shared" si="1"/>
        <v>155.61562499999999</v>
      </c>
      <c r="M23">
        <v>2.2909999999999999</v>
      </c>
      <c r="N23">
        <v>104.03999999999999</v>
      </c>
      <c r="O23">
        <v>3.87</v>
      </c>
      <c r="Q23">
        <f t="shared" si="2"/>
        <v>1.4318749999999998</v>
      </c>
      <c r="R23">
        <f t="shared" si="3"/>
        <v>32.217187499999994</v>
      </c>
      <c r="T23">
        <v>26.91</v>
      </c>
      <c r="U23">
        <v>667.5</v>
      </c>
      <c r="V23">
        <v>6.2</v>
      </c>
      <c r="X23">
        <f t="shared" si="4"/>
        <v>16.818749999999998</v>
      </c>
      <c r="Y23">
        <f t="shared" si="5"/>
        <v>50.456249999999997</v>
      </c>
      <c r="AB23">
        <v>1024</v>
      </c>
      <c r="AC23">
        <v>8.0440000000000005</v>
      </c>
      <c r="AG23" s="16">
        <v>1727</v>
      </c>
      <c r="AH23" s="10">
        <v>8.6270000000000007</v>
      </c>
      <c r="AN23" s="8"/>
      <c r="AP23" s="10"/>
    </row>
    <row r="24" spans="3:42" x14ac:dyDescent="0.25">
      <c r="C24">
        <v>4</v>
      </c>
      <c r="E24">
        <v>45.22</v>
      </c>
      <c r="F24">
        <v>1120</v>
      </c>
      <c r="G24">
        <v>7.81</v>
      </c>
      <c r="I24">
        <f t="shared" si="6"/>
        <v>1130.5</v>
      </c>
      <c r="J24">
        <f t="shared" si="0"/>
        <v>28.262499999999999</v>
      </c>
      <c r="K24">
        <f t="shared" si="1"/>
        <v>127.18124999999999</v>
      </c>
      <c r="M24">
        <v>0.98599999999999999</v>
      </c>
      <c r="N24">
        <v>75.709999999999994</v>
      </c>
      <c r="O24">
        <v>4.05</v>
      </c>
      <c r="Q24">
        <f t="shared" si="2"/>
        <v>0.61624999999999996</v>
      </c>
      <c r="R24">
        <f t="shared" si="3"/>
        <v>13.865625</v>
      </c>
      <c r="T24">
        <v>21.1</v>
      </c>
      <c r="U24">
        <v>526</v>
      </c>
      <c r="V24">
        <v>6.61</v>
      </c>
      <c r="X24">
        <f t="shared" si="4"/>
        <v>13.1875</v>
      </c>
      <c r="Y24">
        <f t="shared" si="5"/>
        <v>39.5625</v>
      </c>
      <c r="AB24">
        <v>1039</v>
      </c>
      <c r="AC24">
        <v>8.1029999999999998</v>
      </c>
      <c r="AG24" s="16">
        <v>1730</v>
      </c>
      <c r="AH24" s="10">
        <v>8.5820000000000007</v>
      </c>
      <c r="AN24" s="8"/>
      <c r="AP24" s="10"/>
    </row>
    <row r="25" spans="3:42" x14ac:dyDescent="0.25">
      <c r="C25">
        <v>6</v>
      </c>
      <c r="E25">
        <v>31.3</v>
      </c>
      <c r="F25">
        <v>776.4</v>
      </c>
      <c r="G25">
        <v>8.48</v>
      </c>
      <c r="I25">
        <f t="shared" si="6"/>
        <v>782.5</v>
      </c>
      <c r="J25">
        <f t="shared" si="0"/>
        <v>19.5625</v>
      </c>
      <c r="K25">
        <f t="shared" si="1"/>
        <v>88.031249999999986</v>
      </c>
      <c r="M25">
        <v>0.22500000000000001</v>
      </c>
      <c r="N25">
        <v>41.129999999999995</v>
      </c>
      <c r="Q25">
        <f t="shared" si="2"/>
        <v>0.140625</v>
      </c>
      <c r="R25">
        <f t="shared" si="3"/>
        <v>3.1640625</v>
      </c>
      <c r="T25">
        <v>13.5</v>
      </c>
      <c r="U25">
        <v>339.1</v>
      </c>
      <c r="V25">
        <v>7.14</v>
      </c>
      <c r="X25">
        <f t="shared" si="4"/>
        <v>8.4375</v>
      </c>
      <c r="Y25">
        <f t="shared" si="5"/>
        <v>25.3125</v>
      </c>
      <c r="AB25">
        <v>1029</v>
      </c>
      <c r="AC25">
        <v>7.9050000000000002</v>
      </c>
      <c r="AG25" s="16">
        <v>1720</v>
      </c>
      <c r="AH25" s="10">
        <v>8.6379999999999999</v>
      </c>
      <c r="AN25" s="8"/>
      <c r="AP25" s="10"/>
    </row>
    <row r="26" spans="3:42" x14ac:dyDescent="0.25">
      <c r="C26">
        <v>8</v>
      </c>
      <c r="E26">
        <v>13.16</v>
      </c>
      <c r="F26">
        <v>329.5</v>
      </c>
      <c r="G26">
        <v>9.42</v>
      </c>
      <c r="I26">
        <f t="shared" si="6"/>
        <v>329</v>
      </c>
      <c r="J26">
        <f t="shared" si="0"/>
        <v>8.2249999999999996</v>
      </c>
      <c r="K26">
        <f t="shared" si="1"/>
        <v>37.012499999999996</v>
      </c>
      <c r="M26">
        <v>0.151</v>
      </c>
      <c r="N26">
        <v>15.180499999999999</v>
      </c>
      <c r="Q26">
        <f t="shared" si="2"/>
        <v>9.4374999999999987E-2</v>
      </c>
      <c r="R26">
        <f t="shared" si="3"/>
        <v>2.1234374999999996</v>
      </c>
      <c r="T26">
        <v>4.9480000000000004</v>
      </c>
      <c r="U26">
        <v>123.5</v>
      </c>
      <c r="V26">
        <v>8.07</v>
      </c>
      <c r="X26">
        <f t="shared" si="4"/>
        <v>3.0925000000000002</v>
      </c>
      <c r="Y26">
        <f t="shared" si="5"/>
        <v>9.2774999999999999</v>
      </c>
      <c r="AB26">
        <v>1007</v>
      </c>
      <c r="AC26">
        <v>8.17</v>
      </c>
      <c r="AG26" s="16">
        <v>1704</v>
      </c>
      <c r="AH26" s="10">
        <v>8.5920000000000005</v>
      </c>
      <c r="AN26" s="8"/>
      <c r="AP26" s="10"/>
    </row>
    <row r="27" spans="3:42" x14ac:dyDescent="0.25">
      <c r="C27">
        <v>10</v>
      </c>
      <c r="E27" s="19">
        <f>E17</f>
        <v>8.4120000000000008</v>
      </c>
      <c r="F27" s="19">
        <f t="shared" ref="F27:G27" si="7">F17</f>
        <v>209.6</v>
      </c>
      <c r="G27" s="19">
        <f t="shared" si="7"/>
        <v>9.65</v>
      </c>
      <c r="H27" s="19"/>
      <c r="I27">
        <f t="shared" ref="I27:I30" si="8">E27*(1000/40)</f>
        <v>210.3</v>
      </c>
      <c r="J27">
        <f t="shared" si="0"/>
        <v>5.2575000000000003</v>
      </c>
      <c r="K27">
        <f t="shared" si="1"/>
        <v>23.658750000000001</v>
      </c>
      <c r="M27">
        <v>0.123</v>
      </c>
      <c r="N27">
        <v>4.6855000000000002</v>
      </c>
      <c r="Q27">
        <f t="shared" si="2"/>
        <v>7.6874999999999999E-2</v>
      </c>
      <c r="R27">
        <f t="shared" si="3"/>
        <v>1.7296875</v>
      </c>
      <c r="U27">
        <v>123.5</v>
      </c>
      <c r="V27">
        <v>8.07</v>
      </c>
      <c r="X27">
        <f t="shared" si="4"/>
        <v>0</v>
      </c>
      <c r="Y27">
        <f t="shared" si="5"/>
        <v>0</v>
      </c>
      <c r="AB27">
        <v>1008</v>
      </c>
      <c r="AC27">
        <v>7.891</v>
      </c>
      <c r="AG27" s="16">
        <v>1695</v>
      </c>
      <c r="AH27" s="10">
        <v>8.5510000000000002</v>
      </c>
      <c r="AN27" s="8"/>
      <c r="AP27" s="10"/>
    </row>
    <row r="28" spans="3:42" x14ac:dyDescent="0.25">
      <c r="C28">
        <v>12</v>
      </c>
      <c r="E28" s="19">
        <f>E16</f>
        <v>7.6449999999999996</v>
      </c>
      <c r="F28" s="19">
        <f t="shared" ref="F28:G28" si="9">F16</f>
        <v>191.1</v>
      </c>
      <c r="G28" s="19">
        <f t="shared" si="9"/>
        <v>9.81</v>
      </c>
      <c r="H28" s="19"/>
      <c r="I28">
        <f t="shared" si="8"/>
        <v>191.125</v>
      </c>
      <c r="J28">
        <f t="shared" si="0"/>
        <v>4.7781249999999993</v>
      </c>
      <c r="K28">
        <f t="shared" si="1"/>
        <v>21.501562499999995</v>
      </c>
      <c r="M28">
        <v>4.9000000000000002E-2</v>
      </c>
      <c r="N28">
        <v>3.4115000000000002</v>
      </c>
      <c r="Q28">
        <f t="shared" si="2"/>
        <v>3.0624999999999999E-2</v>
      </c>
      <c r="R28">
        <f t="shared" si="3"/>
        <v>0.68906250000000002</v>
      </c>
      <c r="U28" s="19">
        <f>U16</f>
        <v>67.69</v>
      </c>
      <c r="V28" s="19">
        <f>V17</f>
        <v>8.0500000000000007</v>
      </c>
      <c r="W28" s="19"/>
      <c r="X28">
        <f t="shared" si="4"/>
        <v>0</v>
      </c>
      <c r="Y28">
        <f t="shared" si="5"/>
        <v>0</v>
      </c>
      <c r="AB28" s="19">
        <v>1008</v>
      </c>
      <c r="AC28" s="19">
        <v>7.891</v>
      </c>
      <c r="AD28" s="19"/>
      <c r="AG28" s="17">
        <v>1695</v>
      </c>
      <c r="AH28" s="18">
        <v>8.5510000000000002</v>
      </c>
      <c r="AN28" s="8"/>
      <c r="AP28" s="10"/>
    </row>
    <row r="29" spans="3:42" x14ac:dyDescent="0.25">
      <c r="C29">
        <v>14</v>
      </c>
      <c r="E29" s="19">
        <f>E15</f>
        <v>3.9929999999999999</v>
      </c>
      <c r="F29" s="19">
        <f t="shared" ref="F29:G29" si="10">F15</f>
        <v>99.68</v>
      </c>
      <c r="G29" s="19">
        <f t="shared" si="10"/>
        <v>9.98</v>
      </c>
      <c r="H29" s="19"/>
      <c r="I29">
        <f t="shared" si="8"/>
        <v>99.825000000000003</v>
      </c>
      <c r="J29">
        <f t="shared" si="0"/>
        <v>2.495625</v>
      </c>
      <c r="K29">
        <f t="shared" si="1"/>
        <v>11.2303125</v>
      </c>
      <c r="M29" s="19">
        <f>M15</f>
        <v>0.13400000000000001</v>
      </c>
      <c r="Q29">
        <f t="shared" si="2"/>
        <v>8.3750000000000005E-2</v>
      </c>
      <c r="R29">
        <f t="shared" si="3"/>
        <v>1.8843750000000001</v>
      </c>
      <c r="U29" s="19">
        <f>U15</f>
        <v>34.82</v>
      </c>
      <c r="V29" s="19">
        <f>V16</f>
        <v>8.1199999999999992</v>
      </c>
      <c r="W29" s="19"/>
      <c r="X29">
        <f t="shared" si="4"/>
        <v>0</v>
      </c>
      <c r="Y29">
        <f t="shared" si="5"/>
        <v>0</v>
      </c>
      <c r="AB29" s="19">
        <v>1008</v>
      </c>
      <c r="AC29" s="19">
        <v>7.891</v>
      </c>
      <c r="AD29" s="19"/>
      <c r="AG29" s="17">
        <v>1695</v>
      </c>
      <c r="AH29" s="18">
        <v>8.5510000000000002</v>
      </c>
      <c r="AN29" s="8"/>
      <c r="AP29" s="10"/>
    </row>
    <row r="30" spans="3:42" x14ac:dyDescent="0.25">
      <c r="C30">
        <v>16</v>
      </c>
      <c r="E30" s="19">
        <f>E14</f>
        <v>0.82399999999999995</v>
      </c>
      <c r="F30" s="19">
        <f t="shared" ref="F30" si="11">F14</f>
        <v>20.57</v>
      </c>
      <c r="G30" s="19"/>
      <c r="H30" s="19"/>
      <c r="I30">
        <f t="shared" si="8"/>
        <v>20.599999999999998</v>
      </c>
      <c r="J30">
        <f t="shared" si="0"/>
        <v>0.5149999999999999</v>
      </c>
      <c r="K30">
        <f t="shared" si="1"/>
        <v>2.3174999999999994</v>
      </c>
      <c r="M30" s="19">
        <f>M14</f>
        <v>0.11799999999999999</v>
      </c>
      <c r="Q30">
        <f t="shared" si="2"/>
        <v>7.3749999999999996E-2</v>
      </c>
      <c r="R30">
        <f t="shared" si="3"/>
        <v>1.659375</v>
      </c>
      <c r="U30" s="19">
        <f>U14</f>
        <v>8.9</v>
      </c>
      <c r="V30" s="19">
        <f>V15</f>
        <v>8.09</v>
      </c>
      <c r="W30" s="19"/>
      <c r="X30">
        <f t="shared" si="4"/>
        <v>0</v>
      </c>
      <c r="Y30">
        <f t="shared" si="5"/>
        <v>0</v>
      </c>
      <c r="AB30" s="19">
        <v>1008</v>
      </c>
      <c r="AC30" s="19">
        <v>7.891</v>
      </c>
      <c r="AD30" s="19"/>
      <c r="AG30" s="17">
        <v>1695</v>
      </c>
      <c r="AH30" s="18">
        <v>8.5510000000000002</v>
      </c>
      <c r="AN30" s="8"/>
      <c r="AP30" s="10"/>
    </row>
    <row r="31" spans="3:42" x14ac:dyDescent="0.25">
      <c r="E31" s="21"/>
      <c r="F31" s="21" t="s">
        <v>71</v>
      </c>
      <c r="M31" s="20" t="s">
        <v>71</v>
      </c>
      <c r="U31" s="20" t="s">
        <v>71</v>
      </c>
      <c r="AB31" s="20" t="s">
        <v>71</v>
      </c>
      <c r="AG31" s="20" t="s">
        <v>71</v>
      </c>
      <c r="AN31" s="8"/>
      <c r="AP31" s="10"/>
    </row>
    <row r="32" spans="3:42" x14ac:dyDescent="0.25">
      <c r="AN32" s="8"/>
      <c r="AP32" s="10"/>
    </row>
    <row r="33" spans="40:42" x14ac:dyDescent="0.25">
      <c r="AN33" s="8"/>
      <c r="AP33" s="10"/>
    </row>
    <row r="34" spans="40:42" x14ac:dyDescent="0.25">
      <c r="AN34" s="8"/>
      <c r="AP34" s="10"/>
    </row>
    <row r="35" spans="40:42" x14ac:dyDescent="0.25">
      <c r="AN35" s="8"/>
      <c r="AP35" s="10"/>
    </row>
    <row r="36" spans="40:42" x14ac:dyDescent="0.25">
      <c r="AN36" s="8"/>
      <c r="AP36" s="10"/>
    </row>
    <row r="37" spans="40:42" x14ac:dyDescent="0.25">
      <c r="AN37" s="8"/>
      <c r="AP37" s="10"/>
    </row>
    <row r="38" spans="40:42" x14ac:dyDescent="0.25">
      <c r="AN38" s="8"/>
      <c r="AP38" s="10"/>
    </row>
    <row r="39" spans="40:42" x14ac:dyDescent="0.25">
      <c r="AN39" s="8"/>
      <c r="AP39" s="10"/>
    </row>
    <row r="40" spans="40:42" x14ac:dyDescent="0.25">
      <c r="AN40" s="8"/>
      <c r="AP40" s="10"/>
    </row>
    <row r="41" spans="40:42" x14ac:dyDescent="0.25">
      <c r="AN41" s="8"/>
      <c r="AP41" s="10"/>
    </row>
    <row r="42" spans="40:42" x14ac:dyDescent="0.25">
      <c r="AN42" s="8"/>
      <c r="AP42" s="10"/>
    </row>
    <row r="43" spans="40:42" x14ac:dyDescent="0.25">
      <c r="AN43" s="8"/>
      <c r="AP43" s="10"/>
    </row>
    <row r="44" spans="40:42" x14ac:dyDescent="0.25">
      <c r="AN44" s="8"/>
      <c r="AP44" s="10"/>
    </row>
    <row r="45" spans="40:42" x14ac:dyDescent="0.25">
      <c r="AN45" s="8"/>
      <c r="AP45" s="10"/>
    </row>
    <row r="46" spans="40:42" x14ac:dyDescent="0.25">
      <c r="AN46" s="8"/>
      <c r="AP46" s="10"/>
    </row>
    <row r="47" spans="40:42" x14ac:dyDescent="0.25">
      <c r="AN47" s="8"/>
      <c r="AP47" s="10"/>
    </row>
    <row r="48" spans="40:42" x14ac:dyDescent="0.25">
      <c r="AN48" s="8"/>
      <c r="AP48" s="10"/>
    </row>
    <row r="49" spans="40:42" x14ac:dyDescent="0.25">
      <c r="AN49" s="8"/>
      <c r="AP49" s="10"/>
    </row>
    <row r="50" spans="40:42" x14ac:dyDescent="0.25">
      <c r="AN50" s="8"/>
      <c r="AP50" s="10"/>
    </row>
    <row r="51" spans="40:42" x14ac:dyDescent="0.25">
      <c r="AN51" s="8"/>
      <c r="AP51" s="10"/>
    </row>
    <row r="52" spans="40:42" x14ac:dyDescent="0.25">
      <c r="AN52" s="8"/>
      <c r="AP52" s="10"/>
    </row>
    <row r="53" spans="40:42" x14ac:dyDescent="0.25">
      <c r="AN53" s="8"/>
      <c r="AP53" s="10"/>
    </row>
    <row r="54" spans="40:42" x14ac:dyDescent="0.25">
      <c r="AN54" s="8"/>
      <c r="AP54" s="10"/>
    </row>
    <row r="55" spans="40:42" x14ac:dyDescent="0.25">
      <c r="AN55" s="8"/>
      <c r="AP55" s="10"/>
    </row>
    <row r="56" spans="40:42" x14ac:dyDescent="0.25">
      <c r="AN56" s="8"/>
      <c r="AP56" s="10"/>
    </row>
    <row r="57" spans="40:42" x14ac:dyDescent="0.25">
      <c r="AN57" s="8"/>
      <c r="AP57" s="10"/>
    </row>
    <row r="58" spans="40:42" x14ac:dyDescent="0.25">
      <c r="AN58" s="8"/>
      <c r="AP58" s="10"/>
    </row>
    <row r="59" spans="40:42" x14ac:dyDescent="0.25">
      <c r="AN59" s="8"/>
      <c r="AP59" s="10"/>
    </row>
    <row r="60" spans="40:42" x14ac:dyDescent="0.25">
      <c r="AN60" s="8"/>
      <c r="AP60" s="10"/>
    </row>
    <row r="61" spans="40:42" x14ac:dyDescent="0.25">
      <c r="AN61" s="8"/>
      <c r="AP61" s="10"/>
    </row>
    <row r="62" spans="40:42" x14ac:dyDescent="0.25">
      <c r="AN62" s="8"/>
      <c r="AP62" s="10"/>
    </row>
    <row r="63" spans="40:42" x14ac:dyDescent="0.25">
      <c r="AN63" s="8"/>
      <c r="AP63" s="10"/>
    </row>
    <row r="64" spans="40:42" x14ac:dyDescent="0.25">
      <c r="AN64" s="8"/>
      <c r="AP64" s="10"/>
    </row>
    <row r="65" spans="40:42" x14ac:dyDescent="0.25">
      <c r="AN65" s="8"/>
      <c r="AP65" s="10"/>
    </row>
    <row r="66" spans="40:42" x14ac:dyDescent="0.25">
      <c r="AN66" s="8"/>
      <c r="AP66" s="10"/>
    </row>
    <row r="67" spans="40:42" x14ac:dyDescent="0.25">
      <c r="AN67" s="8"/>
      <c r="AP67" s="10"/>
    </row>
    <row r="68" spans="40:42" x14ac:dyDescent="0.25">
      <c r="AN68" s="8"/>
      <c r="AP68" s="10"/>
    </row>
    <row r="69" spans="40:42" x14ac:dyDescent="0.25">
      <c r="AN69" s="8"/>
      <c r="AP69" s="10"/>
    </row>
    <row r="70" spans="40:42" x14ac:dyDescent="0.25">
      <c r="AN70" s="8"/>
      <c r="AP70" s="10"/>
    </row>
    <row r="71" spans="40:42" x14ac:dyDescent="0.25">
      <c r="AN71" s="8"/>
      <c r="AP71" s="10"/>
    </row>
    <row r="72" spans="40:42" x14ac:dyDescent="0.25">
      <c r="AN72" s="8"/>
      <c r="AP72" s="10"/>
    </row>
    <row r="73" spans="40:42" x14ac:dyDescent="0.25">
      <c r="AN73" s="8"/>
      <c r="AP73" s="10"/>
    </row>
    <row r="74" spans="40:42" x14ac:dyDescent="0.25">
      <c r="AN74" s="11"/>
      <c r="AO74" s="12"/>
      <c r="AP74" s="13"/>
    </row>
  </sheetData>
  <sortState xmlns:xlrd2="http://schemas.microsoft.com/office/spreadsheetml/2017/richdata2" ref="AS13:AU25">
    <sortCondition ref="AS13:AS25"/>
  </sortState>
  <mergeCells count="2">
    <mergeCell ref="M12:O12"/>
    <mergeCell ref="I11:I13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4F5D345E8EBA4EB92136D8E2D175B7" ma:contentTypeVersion="18" ma:contentTypeDescription="Create a new document." ma:contentTypeScope="" ma:versionID="cbc9030d81e640854c0116722611bb2e">
  <xsd:schema xmlns:xsd="http://www.w3.org/2001/XMLSchema" xmlns:xs="http://www.w3.org/2001/XMLSchema" xmlns:p="http://schemas.microsoft.com/office/2006/metadata/properties" xmlns:ns2="965b3675-3c16-4528-90c2-3cb7b0ab6f71" xmlns:ns3="17c1e797-f5ee-4ead-ab3a-89411af36d17" targetNamespace="http://schemas.microsoft.com/office/2006/metadata/properties" ma:root="true" ma:fieldsID="07747659ba48739c4d8ec91b97a53e44" ns2:_="" ns3:_="">
    <xsd:import namespace="965b3675-3c16-4528-90c2-3cb7b0ab6f71"/>
    <xsd:import namespace="17c1e797-f5ee-4ead-ab3a-89411af36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b3675-3c16-4528-90c2-3cb7b0ab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1e797-f5ee-4ead-ab3a-89411af36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ac0025-4040-4863-8698-52a11253ddf4}" ma:internalName="TaxCatchAll" ma:showField="CatchAllData" ma:web="17c1e797-f5ee-4ead-ab3a-89411af36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b3675-3c16-4528-90c2-3cb7b0ab6f71">
      <Terms xmlns="http://schemas.microsoft.com/office/infopath/2007/PartnerControls"/>
    </lcf76f155ced4ddcb4097134ff3c332f>
    <TaxCatchAll xmlns="17c1e797-f5ee-4ead-ab3a-89411af36d17" xsi:nil="true"/>
  </documentManagement>
</p:properties>
</file>

<file path=customXml/itemProps1.xml><?xml version="1.0" encoding="utf-8"?>
<ds:datastoreItem xmlns:ds="http://schemas.openxmlformats.org/officeDocument/2006/customXml" ds:itemID="{4AA32197-D2DB-4985-9C0B-0ADE468A6516}"/>
</file>

<file path=customXml/itemProps2.xml><?xml version="1.0" encoding="utf-8"?>
<ds:datastoreItem xmlns:ds="http://schemas.openxmlformats.org/officeDocument/2006/customXml" ds:itemID="{9F1AFF20-D76C-4482-B614-ED7ABBE48C78}"/>
</file>

<file path=customXml/itemProps3.xml><?xml version="1.0" encoding="utf-8"?>
<ds:datastoreItem xmlns:ds="http://schemas.openxmlformats.org/officeDocument/2006/customXml" ds:itemID="{E428B2C4-7EDD-47D7-B747-19A895D97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Collated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Barber</dc:creator>
  <cp:lastModifiedBy>Jeffrey Barber (Western Sydney LHD)</cp:lastModifiedBy>
  <dcterms:created xsi:type="dcterms:W3CDTF">2023-10-25T00:53:41Z</dcterms:created>
  <dcterms:modified xsi:type="dcterms:W3CDTF">2025-04-09T04:39:10Z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0x010100774F5D345E8EBA4EB92136D8E2D175B7</vt:lpwstr>
  </property>
</Properties>
</file>