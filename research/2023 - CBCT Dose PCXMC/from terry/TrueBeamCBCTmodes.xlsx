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workbookPr/>
  <mc:AlternateContent xmlns:mc="http://schemas.openxmlformats.org/markup-compatibility/2006">
    <mc:Choice Requires="x15">
      <x15ac:absPath xmlns:x15ac="http://schemas.microsoft.com/office/spreadsheetml/2010/11/ac" url="D:\C Drive\ACPSEM\ROMP\projects\CBCT\"/>
    </mc:Choice>
  </mc:AlternateContent>
  <xr:revisionPtr revIDLastSave="1" documentId="13_ncr:1_{7980FA96-D3E4-4013-A47B-AF7D8E41E847}" xr6:coauthVersionLast="47" xr6:coauthVersionMax="47" xr10:uidLastSave="{7337065A-C36B-4D7D-BBA5-57A17F6391F8}"/>
  <bookViews>
    <workbookView xWindow="2868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" l="1"/>
  <c r="X32" i="1"/>
  <c r="V32" i="1"/>
</calcChain>
</file>

<file path=xl/sharedStrings.xml><?xml version="1.0" encoding="utf-8"?>
<sst xmlns="http://schemas.openxmlformats.org/spreadsheetml/2006/main" count="391" uniqueCount="144">
  <si>
    <t>Current</t>
  </si>
  <si>
    <t>Only trust dose factor for Stds, otherwise it miught just be copied over not measured</t>
  </si>
  <si>
    <t>deg/s</t>
  </si>
  <si>
    <t>mGy/100mAs</t>
  </si>
  <si>
    <t>surrogate for half/full fan?</t>
  </si>
  <si>
    <t>deg</t>
  </si>
  <si>
    <t>s</t>
  </si>
  <si>
    <t>cGy</t>
  </si>
  <si>
    <t>LA3</t>
  </si>
  <si>
    <t>LA4</t>
  </si>
  <si>
    <t>LA5</t>
  </si>
  <si>
    <t>CST</t>
  </si>
  <si>
    <t>OBK</t>
  </si>
  <si>
    <t>Mode Name</t>
  </si>
  <si>
    <t>Std/Custom</t>
  </si>
  <si>
    <t>Clinical?</t>
  </si>
  <si>
    <t>kV</t>
  </si>
  <si>
    <t>mA/frame</t>
  </si>
  <si>
    <t>ms/frame</t>
  </si>
  <si>
    <t>frames/s</t>
  </si>
  <si>
    <t>Gantry speed</t>
  </si>
  <si>
    <t>Dose Factor</t>
  </si>
  <si>
    <t xml:space="preserve">CTDI Phantom </t>
  </si>
  <si>
    <t>No Projections</t>
  </si>
  <si>
    <t>Proj Increment</t>
  </si>
  <si>
    <t>Acqusition time</t>
  </si>
  <si>
    <t>Exposure</t>
  </si>
  <si>
    <t>CTDI</t>
  </si>
  <si>
    <t>Trajectory</t>
  </si>
  <si>
    <t>Start angle</t>
  </si>
  <si>
    <t>Prescan darkfield</t>
  </si>
  <si>
    <t>Algo</t>
  </si>
  <si>
    <t>Filter</t>
  </si>
  <si>
    <t>Matrix size</t>
  </si>
  <si>
    <t>Slice thick</t>
  </si>
  <si>
    <t>Ring Suppresion</t>
  </si>
  <si>
    <t>Fan</t>
  </si>
  <si>
    <t>Column1</t>
  </si>
  <si>
    <t>Notes</t>
  </si>
  <si>
    <t>Yes</t>
  </si>
  <si>
    <t>4D spotlight</t>
  </si>
  <si>
    <t>Standard</t>
  </si>
  <si>
    <t>320mm</t>
  </si>
  <si>
    <t>Half</t>
  </si>
  <si>
    <t>Auto</t>
  </si>
  <si>
    <t>No</t>
  </si>
  <si>
    <t>4D</t>
  </si>
  <si>
    <t>Full (SFOV)</t>
  </si>
  <si>
    <t>4D thorax</t>
  </si>
  <si>
    <t>Full</t>
  </si>
  <si>
    <t>Half (LFOV)</t>
  </si>
  <si>
    <t>Breast 360</t>
  </si>
  <si>
    <t>Custom</t>
  </si>
  <si>
    <t>Default</t>
  </si>
  <si>
    <t>Medium</t>
  </si>
  <si>
    <t>Half (SFOV)</t>
  </si>
  <si>
    <t>IS HALF CORRECT????</t>
  </si>
  <si>
    <t>Head</t>
  </si>
  <si>
    <t>160mm</t>
  </si>
  <si>
    <t>Head Large FOV</t>
  </si>
  <si>
    <t>Head_low_dose</t>
  </si>
  <si>
    <t>?? Attempt at Paed head?? Or SRS (1mm recon)</t>
  </si>
  <si>
    <t>HN half fan</t>
  </si>
  <si>
    <t>same as Head Large FOV?? Just CTDI entered incorrectly</t>
  </si>
  <si>
    <t>Image Gently</t>
  </si>
  <si>
    <t>KIM</t>
  </si>
  <si>
    <t>Smooth</t>
  </si>
  <si>
    <t>KIM_LARK</t>
  </si>
  <si>
    <t>Prescan only on LA5 not LA4</t>
  </si>
  <si>
    <t>Pelvis</t>
  </si>
  <si>
    <t>Pelvis Obese</t>
  </si>
  <si>
    <t>physics_breast</t>
  </si>
  <si>
    <t>Manual (180--20)</t>
  </si>
  <si>
    <t>SBRT Lung</t>
  </si>
  <si>
    <t>SBRT spine midDose</t>
  </si>
  <si>
    <t>SBRT_Spine_Lowdose</t>
  </si>
  <si>
    <t>Spotlight</t>
  </si>
  <si>
    <t>Thorax</t>
  </si>
  <si>
    <t>4D SBRT Patient</t>
  </si>
  <si>
    <t>Non-clinical</t>
  </si>
  <si>
    <t xml:space="preserve">Rabbit </t>
  </si>
  <si>
    <t>From old JB project, delete</t>
  </si>
  <si>
    <t>Rabbit_Slow</t>
  </si>
  <si>
    <t>Pelvis_VHMP1</t>
  </si>
  <si>
    <t>Pelvis_VHMP2</t>
  </si>
  <si>
    <t>mA</t>
  </si>
  <si>
    <t>ms</t>
  </si>
  <si>
    <t>fps</t>
  </si>
  <si>
    <t>G speed</t>
  </si>
  <si>
    <t>G range</t>
  </si>
  <si>
    <t>#projections</t>
  </si>
  <si>
    <t>Time</t>
  </si>
  <si>
    <t>Planned List (uniform across all machines)</t>
  </si>
  <si>
    <t>Standards</t>
  </si>
  <si>
    <t>Customs</t>
  </si>
  <si>
    <t>Note</t>
  </si>
  <si>
    <t>4D Spotlight</t>
  </si>
  <si>
    <t>200deg  half-fan 4D</t>
  </si>
  <si>
    <t>4D Thorax</t>
  </si>
  <si>
    <t>360deg full-fan 4D</t>
  </si>
  <si>
    <t>Abdomen</t>
  </si>
  <si>
    <t>?Copy of pelvis with 75% mAs?</t>
  </si>
  <si>
    <t>Copy of Thorax, mA=40</t>
  </si>
  <si>
    <t>360deg full-fan, requires couch centring</t>
  </si>
  <si>
    <t>?Breast left 200</t>
  </si>
  <si>
    <t>ideally would not require couch-centring</t>
  </si>
  <si>
    <t>?Breast right 200</t>
  </si>
  <si>
    <t>Extremity</t>
  </si>
  <si>
    <t>?needed… use copy of Head</t>
  </si>
  <si>
    <t>Copy of Head</t>
  </si>
  <si>
    <t>200deg full-fan, 2mm recon  .. Could modify to always shoot from behind lens eg, G=180--&gt;20???</t>
  </si>
  <si>
    <t>Head SRS</t>
  </si>
  <si>
    <t>200deg full-fan, 1mm recon in z</t>
  </si>
  <si>
    <t>Copy of Head, 1mm recon, full rotation,  20mA, 10ms (X=180)</t>
  </si>
  <si>
    <t>Head Paediatric</t>
  </si>
  <si>
    <t>copy of Head with half mAs</t>
  </si>
  <si>
    <t>Head and Shoulders</t>
  </si>
  <si>
    <t>?use copy of Head with LFOV (like Head Large FOV) or copy of Thorax… ultimately LFOV 360deg half-fan</t>
  </si>
  <si>
    <t>Copy of thorax</t>
  </si>
  <si>
    <t xml:space="preserve">Image Gently </t>
  </si>
  <si>
    <t>? Copy and rename Paediatric body?</t>
  </si>
  <si>
    <t>Paediatric Body</t>
  </si>
  <si>
    <t>Copy of IG</t>
  </si>
  <si>
    <t>Paediatric Head</t>
  </si>
  <si>
    <t>Copy of Head, 80kV, 10mA 10ms. Dose factor 0.94 per IG</t>
  </si>
  <si>
    <t xml:space="preserve">360deg, half-fan, high exposure </t>
  </si>
  <si>
    <t>Pelvis-Obese</t>
  </si>
  <si>
    <t>SBRT lung</t>
  </si>
  <si>
    <t>copy of thorax with half rotation and slower gantry rotation… quicker than throax but some extra motion blur for ITV matching?</t>
  </si>
  <si>
    <t>SBRT spine mid-dose</t>
  </si>
  <si>
    <t xml:space="preserve">initial CBCT, 360deg half-fan </t>
  </si>
  <si>
    <t>1mm res</t>
  </si>
  <si>
    <t>SBRT spine low-dose</t>
  </si>
  <si>
    <t>subsequent CBCT, same scan half mAs… ?could be 200deg scan to speed up?</t>
  </si>
  <si>
    <t>small FOV, high dose for pelvis (hard to directly compare but about 75% dose or Pelvis)</t>
  </si>
  <si>
    <t xml:space="preserve">360deg, half-fan, lower exposure </t>
  </si>
  <si>
    <t>KIM Lark</t>
  </si>
  <si>
    <t xml:space="preserve">General questions: </t>
  </si>
  <si>
    <t>Can gantry start/stop be optimised rathe than using auto always?</t>
  </si>
  <si>
    <t>Are extremity and abo needed? Any others missing?</t>
  </si>
  <si>
    <t>Actions</t>
  </si>
  <si>
    <t>Delete VHMP settings and rabbit settings from LA4 and LA5 respectively</t>
  </si>
  <si>
    <t>Rename and standardise HN LFOVand HN half fan</t>
  </si>
  <si>
    <t>Decide on, and add new customs (Abdo, Extremity, Breast 200's, Head SRS, Head Paed)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</si>
</sst>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2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1" fillId="0" borderId="1" xfId="1"/>
    <xf numFmtId="0" fontId="0" fillId="0" borderId="5" xfId="0" applyBorder="1"/>
    <xf numFmtId="0" fontId="2" fillId="0" borderId="5" xfId="0" applyFont="1" applyBorder="1"/>
    <xf numFmtId="164" fontId="0" fillId="0" borderId="0" xfId="0" applyNumberFormat="1"/>
    <xf numFmtId="0" fontId="4" fillId="0" borderId="5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2" borderId="0" xfId="2" applyAlignment="1">
      <alignment horizontal="left"/>
    </xf>
    <xf numFmtId="0" fontId="3" fillId="2" borderId="0" xfId="2" applyAlignment="1"/>
    <xf numFmtId="0" fontId="0" fillId="0" borderId="5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3">
    <cellStyle name="Accent1" xfId="2" builtinId="29"/>
    <cellStyle name="Heading 1" xfId="1" builtinId="16"/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E28" totalsRowShown="0" headerRowDxfId="31">
  <autoFilter ref="A3:AE28" xr:uid="{00000000-0009-0000-0100-000001000000}"/>
  <tableColumns count="31">
    <tableColumn id="1" xr3:uid="{00000000-0010-0000-0000-000001000000}" name="LA3" dataDxfId="30"/>
    <tableColumn id="2" xr3:uid="{00000000-0010-0000-0000-000002000000}" name="LA4" dataDxfId="29"/>
    <tableColumn id="3" xr3:uid="{00000000-0010-0000-0000-000003000000}" name="LA5" dataDxfId="28"/>
    <tableColumn id="4" xr3:uid="{00000000-0010-0000-0000-000004000000}" name="CST" dataDxfId="27"/>
    <tableColumn id="5" xr3:uid="{00000000-0010-0000-0000-000005000000}" name="OBK" dataDxfId="26"/>
    <tableColumn id="6" xr3:uid="{00000000-0010-0000-0000-000006000000}" name="Mode Name" dataDxfId="25"/>
    <tableColumn id="7" xr3:uid="{00000000-0010-0000-0000-000007000000}" name="Std/Custom" dataDxfId="24"/>
    <tableColumn id="8" xr3:uid="{00000000-0010-0000-0000-000008000000}" name="Clinical?" dataDxfId="23"/>
    <tableColumn id="9" xr3:uid="{00000000-0010-0000-0000-000009000000}" name="kV" dataDxfId="22"/>
    <tableColumn id="10" xr3:uid="{00000000-0010-0000-0000-00000A000000}" name="mA/frame" dataDxfId="21"/>
    <tableColumn id="11" xr3:uid="{00000000-0010-0000-0000-00000B000000}" name="ms/frame" dataDxfId="20"/>
    <tableColumn id="12" xr3:uid="{00000000-0010-0000-0000-00000C000000}" name="frames/s" dataDxfId="19"/>
    <tableColumn id="13" xr3:uid="{00000000-0010-0000-0000-00000D000000}" name="Gantry speed" dataDxfId="18"/>
    <tableColumn id="14" xr3:uid="{00000000-0010-0000-0000-00000E000000}" name="Dose Factor" dataDxfId="17"/>
    <tableColumn id="15" xr3:uid="{00000000-0010-0000-0000-00000F000000}" name="CTDI Phantom " dataDxfId="16"/>
    <tableColumn id="16" xr3:uid="{00000000-0010-0000-0000-000010000000}" name="No Projections" dataDxfId="15"/>
    <tableColumn id="17" xr3:uid="{00000000-0010-0000-0000-000011000000}" name="Proj Increment" dataDxfId="14"/>
    <tableColumn id="18" xr3:uid="{00000000-0010-0000-0000-000012000000}" name="Acqusition time" dataDxfId="13"/>
    <tableColumn id="19" xr3:uid="{00000000-0010-0000-0000-000013000000}" name="Exposure" dataDxfId="12"/>
    <tableColumn id="20" xr3:uid="{00000000-0010-0000-0000-000014000000}" name="CTDI" dataDxfId="11"/>
    <tableColumn id="21" xr3:uid="{00000000-0010-0000-0000-000015000000}" name="Trajectory" dataDxfId="10"/>
    <tableColumn id="22" xr3:uid="{00000000-0010-0000-0000-000016000000}" name="Start angle" dataDxfId="9"/>
    <tableColumn id="23" xr3:uid="{00000000-0010-0000-0000-000017000000}" name="Prescan darkfield" dataDxfId="8"/>
    <tableColumn id="24" xr3:uid="{00000000-0010-0000-0000-000018000000}" name="Algo" dataDxfId="7"/>
    <tableColumn id="25" xr3:uid="{00000000-0010-0000-0000-000019000000}" name="Filter" dataDxfId="6"/>
    <tableColumn id="26" xr3:uid="{00000000-0010-0000-0000-00001A000000}" name="Matrix size" dataDxfId="5"/>
    <tableColumn id="27" xr3:uid="{00000000-0010-0000-0000-00001B000000}" name="Slice thick" dataDxfId="4"/>
    <tableColumn id="28" xr3:uid="{00000000-0010-0000-0000-00001C000000}" name="Ring Suppresion" dataDxfId="3"/>
    <tableColumn id="29" xr3:uid="{00000000-0010-0000-0000-00001D000000}" name="Fan" dataDxfId="2"/>
    <tableColumn id="30" xr3:uid="{00000000-0010-0000-0000-00001E000000}" name="Column1" dataDxfId="1"/>
    <tableColumn id="31" xr3:uid="{00000000-0010-0000-0000-00001F000000}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"/>
  <sheetViews>
    <sheetView tabSelected="1" topLeftCell="L1" zoomScale="70" zoomScaleNormal="70" workbookViewId="0">
      <selection activeCell="T22" sqref="T4:T22"/>
    </sheetView>
  </sheetViews>
  <sheetFormatPr defaultRowHeight="15"/>
  <cols>
    <col min="6" max="6" width="20.42578125" bestFit="1" customWidth="1"/>
    <col min="7" max="7" width="16.5703125" customWidth="1"/>
    <col min="8" max="8" width="13.28515625" customWidth="1"/>
    <col min="10" max="10" width="14.140625" customWidth="1"/>
    <col min="11" max="11" width="13.7109375" customWidth="1"/>
    <col min="12" max="12" width="13" customWidth="1"/>
    <col min="13" max="13" width="18.5703125" customWidth="1"/>
    <col min="14" max="14" width="17.140625" customWidth="1"/>
    <col min="15" max="16" width="20" customWidth="1"/>
    <col min="17" max="17" width="19.85546875" customWidth="1"/>
    <col min="18" max="18" width="20.85546875" customWidth="1"/>
    <col min="19" max="19" width="13.85546875" customWidth="1"/>
    <col min="21" max="21" width="14.85546875" customWidth="1"/>
    <col min="22" max="22" width="15.85546875" customWidth="1"/>
    <col min="23" max="23" width="14.7109375" customWidth="1"/>
    <col min="24" max="24" width="11.7109375" bestFit="1" customWidth="1"/>
    <col min="26" max="27" width="15.28515625" customWidth="1"/>
    <col min="28" max="28" width="22" customWidth="1"/>
    <col min="30" max="30" width="12.85546875" customWidth="1"/>
    <col min="31" max="31" width="35.85546875" customWidth="1"/>
  </cols>
  <sheetData>
    <row r="1" spans="1:31" ht="20.25" thickBot="1">
      <c r="A1" s="2" t="s">
        <v>0</v>
      </c>
      <c r="N1" t="s">
        <v>1</v>
      </c>
    </row>
    <row r="2" spans="1:31" ht="15.75" thickTop="1">
      <c r="M2" t="s">
        <v>2</v>
      </c>
      <c r="N2" t="s">
        <v>3</v>
      </c>
      <c r="O2" t="s">
        <v>4</v>
      </c>
      <c r="Q2" t="s">
        <v>5</v>
      </c>
      <c r="R2" t="s">
        <v>6</v>
      </c>
      <c r="T2" t="s">
        <v>7</v>
      </c>
    </row>
    <row r="3" spans="1:31" s="1" customForma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  <c r="W3" s="1" t="s">
        <v>30</v>
      </c>
      <c r="X3" s="1" t="s">
        <v>31</v>
      </c>
      <c r="Y3" s="1" t="s">
        <v>32</v>
      </c>
      <c r="Z3" s="1" t="s">
        <v>33</v>
      </c>
      <c r="AA3" s="1" t="s">
        <v>34</v>
      </c>
      <c r="AB3" s="1" t="s">
        <v>35</v>
      </c>
      <c r="AC3" s="1" t="s">
        <v>36</v>
      </c>
      <c r="AD3" s="1" t="s">
        <v>37</v>
      </c>
      <c r="AE3" s="1" t="s">
        <v>38</v>
      </c>
    </row>
    <row r="4" spans="1:31">
      <c r="A4" s="3" t="s">
        <v>39</v>
      </c>
      <c r="B4" s="3" t="s">
        <v>39</v>
      </c>
      <c r="C4" s="3" t="s">
        <v>39</v>
      </c>
      <c r="D4" s="3" t="s">
        <v>39</v>
      </c>
      <c r="E4" s="3" t="s">
        <v>39</v>
      </c>
      <c r="F4" s="3" t="s">
        <v>40</v>
      </c>
      <c r="G4" s="3" t="s">
        <v>41</v>
      </c>
      <c r="H4" s="3" t="s">
        <v>39</v>
      </c>
      <c r="I4" s="3">
        <v>125</v>
      </c>
      <c r="J4" s="3">
        <v>40</v>
      </c>
      <c r="K4" s="3">
        <v>20</v>
      </c>
      <c r="L4" s="3">
        <v>7</v>
      </c>
      <c r="M4" s="3">
        <v>3</v>
      </c>
      <c r="N4" s="3">
        <v>1.64</v>
      </c>
      <c r="O4" s="3" t="s">
        <v>42</v>
      </c>
      <c r="P4" s="3">
        <v>467</v>
      </c>
      <c r="Q4" s="3">
        <v>0.42799999999999999</v>
      </c>
      <c r="R4" s="3">
        <v>67</v>
      </c>
      <c r="S4" s="3">
        <v>371.6</v>
      </c>
      <c r="T4" s="3">
        <v>0.61</v>
      </c>
      <c r="U4" s="3" t="s">
        <v>43</v>
      </c>
      <c r="V4" s="3" t="s">
        <v>44</v>
      </c>
      <c r="W4" s="3" t="s">
        <v>45</v>
      </c>
      <c r="X4" s="3" t="s">
        <v>46</v>
      </c>
      <c r="Y4" s="3" t="s">
        <v>44</v>
      </c>
      <c r="Z4" s="3">
        <v>384</v>
      </c>
      <c r="AA4" s="3">
        <v>1.5</v>
      </c>
      <c r="AB4" s="3" t="s">
        <v>45</v>
      </c>
      <c r="AC4" s="3" t="s">
        <v>47</v>
      </c>
      <c r="AD4" s="3"/>
      <c r="AE4" s="3"/>
    </row>
    <row r="5" spans="1:31">
      <c r="A5" s="3" t="s">
        <v>39</v>
      </c>
      <c r="B5" s="3" t="s">
        <v>39</v>
      </c>
      <c r="C5" s="3" t="s">
        <v>39</v>
      </c>
      <c r="D5" s="3" t="s">
        <v>39</v>
      </c>
      <c r="E5" s="3" t="s">
        <v>39</v>
      </c>
      <c r="F5" s="3" t="s">
        <v>48</v>
      </c>
      <c r="G5" s="3" t="s">
        <v>41</v>
      </c>
      <c r="H5" s="3" t="s">
        <v>39</v>
      </c>
      <c r="I5" s="3">
        <v>125</v>
      </c>
      <c r="J5" s="3">
        <v>40</v>
      </c>
      <c r="K5" s="3">
        <v>20</v>
      </c>
      <c r="L5" s="3">
        <v>7</v>
      </c>
      <c r="M5" s="3">
        <v>3</v>
      </c>
      <c r="N5" s="3">
        <v>1.48</v>
      </c>
      <c r="O5" s="3" t="s">
        <v>42</v>
      </c>
      <c r="P5" s="3">
        <v>840</v>
      </c>
      <c r="Q5" s="3">
        <v>0.42899999999999999</v>
      </c>
      <c r="R5" s="3">
        <v>120</v>
      </c>
      <c r="S5" s="3">
        <v>672</v>
      </c>
      <c r="T5" s="3">
        <v>1</v>
      </c>
      <c r="U5" s="3" t="s">
        <v>49</v>
      </c>
      <c r="V5" s="3"/>
      <c r="W5" s="3" t="s">
        <v>45</v>
      </c>
      <c r="X5" s="3" t="s">
        <v>46</v>
      </c>
      <c r="Y5" s="3" t="s">
        <v>44</v>
      </c>
      <c r="Z5" s="3">
        <v>384</v>
      </c>
      <c r="AA5" s="3">
        <v>1.5</v>
      </c>
      <c r="AB5" s="3" t="s">
        <v>45</v>
      </c>
      <c r="AC5" s="3" t="s">
        <v>50</v>
      </c>
      <c r="AD5" s="3"/>
      <c r="AE5" s="3"/>
    </row>
    <row r="6" spans="1:31">
      <c r="A6" s="3" t="s">
        <v>39</v>
      </c>
      <c r="B6" s="3" t="s">
        <v>39</v>
      </c>
      <c r="C6" s="3" t="s">
        <v>39</v>
      </c>
      <c r="D6" s="3" t="s">
        <v>39</v>
      </c>
      <c r="E6" s="3" t="s">
        <v>39</v>
      </c>
      <c r="F6" s="3" t="s">
        <v>51</v>
      </c>
      <c r="G6" s="3" t="s">
        <v>52</v>
      </c>
      <c r="H6" s="3" t="s">
        <v>39</v>
      </c>
      <c r="I6" s="3">
        <v>125</v>
      </c>
      <c r="J6" s="3">
        <v>10</v>
      </c>
      <c r="K6" s="3">
        <v>10</v>
      </c>
      <c r="L6" s="3">
        <v>7</v>
      </c>
      <c r="M6" s="3">
        <v>6</v>
      </c>
      <c r="N6" s="3">
        <v>1.48</v>
      </c>
      <c r="O6" s="3" t="s">
        <v>42</v>
      </c>
      <c r="P6" s="3">
        <v>420</v>
      </c>
      <c r="Q6" s="3">
        <v>0.85699999999999998</v>
      </c>
      <c r="R6" s="3">
        <v>60</v>
      </c>
      <c r="S6" s="3">
        <v>42</v>
      </c>
      <c r="T6" s="3">
        <v>0.06</v>
      </c>
      <c r="U6" s="3" t="s">
        <v>49</v>
      </c>
      <c r="V6" s="3"/>
      <c r="W6" s="3" t="s">
        <v>45</v>
      </c>
      <c r="X6" s="3" t="s">
        <v>53</v>
      </c>
      <c r="Y6" s="3" t="s">
        <v>44</v>
      </c>
      <c r="Z6" s="3">
        <v>512</v>
      </c>
      <c r="AA6" s="3">
        <v>2</v>
      </c>
      <c r="AB6" s="3" t="s">
        <v>54</v>
      </c>
      <c r="AC6" s="3" t="s">
        <v>55</v>
      </c>
      <c r="AD6" s="3"/>
      <c r="AE6" s="6" t="s">
        <v>56</v>
      </c>
    </row>
    <row r="7" spans="1:31">
      <c r="A7" s="3" t="s">
        <v>39</v>
      </c>
      <c r="B7" s="3" t="s">
        <v>39</v>
      </c>
      <c r="C7" s="3" t="s">
        <v>39</v>
      </c>
      <c r="D7" s="3" t="s">
        <v>39</v>
      </c>
      <c r="E7" s="3" t="s">
        <v>39</v>
      </c>
      <c r="F7" s="3" t="s">
        <v>57</v>
      </c>
      <c r="G7" s="3" t="s">
        <v>41</v>
      </c>
      <c r="H7" s="3" t="s">
        <v>39</v>
      </c>
      <c r="I7" s="3">
        <v>100</v>
      </c>
      <c r="J7" s="3">
        <v>15</v>
      </c>
      <c r="K7" s="3">
        <v>20</v>
      </c>
      <c r="L7" s="3">
        <v>15</v>
      </c>
      <c r="M7" s="3">
        <v>6</v>
      </c>
      <c r="N7" s="3">
        <v>2.11</v>
      </c>
      <c r="O7" s="3" t="s">
        <v>58</v>
      </c>
      <c r="P7" s="3">
        <v>500</v>
      </c>
      <c r="Q7" s="3">
        <v>0.4</v>
      </c>
      <c r="R7" s="3">
        <v>33</v>
      </c>
      <c r="S7" s="3">
        <v>150</v>
      </c>
      <c r="T7" s="3">
        <v>0.32</v>
      </c>
      <c r="U7" s="3" t="s">
        <v>43</v>
      </c>
      <c r="V7" s="3" t="s">
        <v>44</v>
      </c>
      <c r="W7" s="3" t="s">
        <v>45</v>
      </c>
      <c r="X7" s="3" t="s">
        <v>53</v>
      </c>
      <c r="Y7" s="3" t="s">
        <v>44</v>
      </c>
      <c r="Z7" s="3">
        <v>512</v>
      </c>
      <c r="AA7" s="3">
        <v>2</v>
      </c>
      <c r="AB7" s="3" t="s">
        <v>54</v>
      </c>
      <c r="AC7" s="3" t="s">
        <v>47</v>
      </c>
      <c r="AD7" s="3"/>
      <c r="AE7" s="3"/>
    </row>
    <row r="8" spans="1:31">
      <c r="A8" s="3" t="s">
        <v>39</v>
      </c>
      <c r="B8" s="3"/>
      <c r="C8" s="3"/>
      <c r="D8" s="3"/>
      <c r="E8" s="3"/>
      <c r="F8" s="3" t="s">
        <v>59</v>
      </c>
      <c r="G8" s="3" t="s">
        <v>52</v>
      </c>
      <c r="H8" s="3" t="s">
        <v>39</v>
      </c>
      <c r="I8" s="3">
        <v>100</v>
      </c>
      <c r="J8" s="3">
        <v>10</v>
      </c>
      <c r="K8" s="3">
        <v>20</v>
      </c>
      <c r="L8" s="3">
        <v>15</v>
      </c>
      <c r="M8" s="3">
        <v>6</v>
      </c>
      <c r="N8" s="3">
        <v>2.11</v>
      </c>
      <c r="O8" s="3" t="s">
        <v>58</v>
      </c>
      <c r="P8" s="3">
        <v>900</v>
      </c>
      <c r="Q8" s="3">
        <v>0.4</v>
      </c>
      <c r="R8" s="3">
        <v>60</v>
      </c>
      <c r="S8" s="3">
        <v>180</v>
      </c>
      <c r="T8" s="3">
        <v>0.38</v>
      </c>
      <c r="U8" s="3" t="s">
        <v>49</v>
      </c>
      <c r="V8" s="3"/>
      <c r="W8" s="3" t="s">
        <v>45</v>
      </c>
      <c r="X8" s="3" t="s">
        <v>53</v>
      </c>
      <c r="Y8" s="3" t="s">
        <v>44</v>
      </c>
      <c r="Z8" s="3">
        <v>512</v>
      </c>
      <c r="AA8" s="3">
        <v>2</v>
      </c>
      <c r="AB8" s="3" t="s">
        <v>54</v>
      </c>
      <c r="AC8" s="3" t="s">
        <v>50</v>
      </c>
      <c r="AD8" s="3"/>
      <c r="AE8" s="3"/>
    </row>
    <row r="9" spans="1:31">
      <c r="A9" s="3"/>
      <c r="B9" s="3"/>
      <c r="C9" s="3" t="s">
        <v>39</v>
      </c>
      <c r="D9" s="3"/>
      <c r="E9" s="3"/>
      <c r="F9" s="3" t="s">
        <v>60</v>
      </c>
      <c r="G9" s="3" t="s">
        <v>52</v>
      </c>
      <c r="H9" s="3" t="s">
        <v>39</v>
      </c>
      <c r="I9" s="3">
        <v>100</v>
      </c>
      <c r="J9" s="3">
        <v>10</v>
      </c>
      <c r="K9" s="3">
        <v>10</v>
      </c>
      <c r="L9" s="3">
        <v>7</v>
      </c>
      <c r="M9" s="3">
        <v>6</v>
      </c>
      <c r="N9" s="3">
        <v>1.95</v>
      </c>
      <c r="O9" s="3" t="s">
        <v>58</v>
      </c>
      <c r="P9" s="3">
        <v>420</v>
      </c>
      <c r="Q9" s="3">
        <v>0.85699999999999998</v>
      </c>
      <c r="R9" s="3">
        <v>30</v>
      </c>
      <c r="S9" s="3">
        <v>42</v>
      </c>
      <c r="T9" s="3">
        <v>0.08</v>
      </c>
      <c r="U9" s="3" t="s">
        <v>49</v>
      </c>
      <c r="V9" s="3"/>
      <c r="W9" s="3" t="s">
        <v>45</v>
      </c>
      <c r="X9" s="3" t="s">
        <v>53</v>
      </c>
      <c r="Y9" s="3" t="s">
        <v>44</v>
      </c>
      <c r="Z9" s="3">
        <v>512</v>
      </c>
      <c r="AA9" s="3">
        <v>1</v>
      </c>
      <c r="AB9" s="3" t="s">
        <v>54</v>
      </c>
      <c r="AC9" s="3" t="s">
        <v>47</v>
      </c>
      <c r="AD9" s="3"/>
      <c r="AE9" s="3" t="s">
        <v>61</v>
      </c>
    </row>
    <row r="10" spans="1:31">
      <c r="A10" s="3"/>
      <c r="B10" s="3" t="s">
        <v>39</v>
      </c>
      <c r="C10" s="3" t="s">
        <v>39</v>
      </c>
      <c r="D10" s="3"/>
      <c r="E10" s="3"/>
      <c r="F10" s="3" t="s">
        <v>62</v>
      </c>
      <c r="G10" s="3" t="s">
        <v>52</v>
      </c>
      <c r="H10" s="3" t="s">
        <v>39</v>
      </c>
      <c r="I10" s="3">
        <v>125</v>
      </c>
      <c r="J10" s="3">
        <v>10</v>
      </c>
      <c r="K10" s="3">
        <v>10</v>
      </c>
      <c r="L10" s="3">
        <v>15</v>
      </c>
      <c r="M10" s="3">
        <v>6</v>
      </c>
      <c r="N10" s="3">
        <v>1.32</v>
      </c>
      <c r="O10" s="3" t="s">
        <v>42</v>
      </c>
      <c r="P10" s="3">
        <v>900</v>
      </c>
      <c r="Q10" s="3">
        <v>0.4</v>
      </c>
      <c r="R10" s="3">
        <v>60</v>
      </c>
      <c r="S10" s="3">
        <v>90</v>
      </c>
      <c r="T10" s="3">
        <v>0.12</v>
      </c>
      <c r="U10" s="3" t="s">
        <v>49</v>
      </c>
      <c r="V10" s="3"/>
      <c r="W10" s="3" t="s">
        <v>39</v>
      </c>
      <c r="X10" s="3" t="s">
        <v>53</v>
      </c>
      <c r="Y10" s="3" t="s">
        <v>44</v>
      </c>
      <c r="Z10" s="3">
        <v>512</v>
      </c>
      <c r="AA10" s="3">
        <v>2</v>
      </c>
      <c r="AB10" s="3" t="s">
        <v>54</v>
      </c>
      <c r="AC10" s="3" t="s">
        <v>50</v>
      </c>
      <c r="AD10" s="3"/>
      <c r="AE10" s="3" t="s">
        <v>63</v>
      </c>
    </row>
    <row r="11" spans="1:31">
      <c r="A11" s="3" t="s">
        <v>39</v>
      </c>
      <c r="B11" s="3" t="s">
        <v>39</v>
      </c>
      <c r="C11" s="3" t="s">
        <v>39</v>
      </c>
      <c r="D11" s="3" t="s">
        <v>39</v>
      </c>
      <c r="E11" s="3" t="s">
        <v>39</v>
      </c>
      <c r="F11" s="3" t="s">
        <v>64</v>
      </c>
      <c r="G11" s="3" t="s">
        <v>41</v>
      </c>
      <c r="H11" s="3" t="s">
        <v>39</v>
      </c>
      <c r="I11" s="3">
        <v>80</v>
      </c>
      <c r="J11" s="3">
        <v>20</v>
      </c>
      <c r="K11" s="3">
        <v>10</v>
      </c>
      <c r="L11" s="3">
        <v>15</v>
      </c>
      <c r="M11" s="3">
        <v>6</v>
      </c>
      <c r="N11" s="3">
        <v>0.94</v>
      </c>
      <c r="O11" s="3" t="s">
        <v>58</v>
      </c>
      <c r="P11" s="3">
        <v>500</v>
      </c>
      <c r="Q11" s="3">
        <v>0.4</v>
      </c>
      <c r="R11" s="3">
        <v>33</v>
      </c>
      <c r="S11" s="3">
        <v>100</v>
      </c>
      <c r="T11" s="3">
        <v>0.09</v>
      </c>
      <c r="U11" s="3" t="s">
        <v>43</v>
      </c>
      <c r="V11" s="3" t="s">
        <v>44</v>
      </c>
      <c r="W11" s="3" t="s">
        <v>45</v>
      </c>
      <c r="X11" s="3" t="s">
        <v>53</v>
      </c>
      <c r="Y11" s="3" t="s">
        <v>44</v>
      </c>
      <c r="Z11" s="3">
        <v>512</v>
      </c>
      <c r="AA11" s="3">
        <v>2</v>
      </c>
      <c r="AB11" s="3" t="s">
        <v>54</v>
      </c>
      <c r="AC11" s="3" t="s">
        <v>47</v>
      </c>
      <c r="AD11" s="3"/>
      <c r="AE11" s="3"/>
    </row>
    <row r="12" spans="1:31">
      <c r="A12" s="3"/>
      <c r="B12" s="3" t="s">
        <v>39</v>
      </c>
      <c r="C12" s="3"/>
      <c r="D12" s="3"/>
      <c r="E12" s="3"/>
      <c r="F12" s="3" t="s">
        <v>65</v>
      </c>
      <c r="G12" s="3" t="s">
        <v>52</v>
      </c>
      <c r="H12" s="3" t="s">
        <v>39</v>
      </c>
      <c r="I12" s="3">
        <v>125</v>
      </c>
      <c r="J12" s="3">
        <v>60</v>
      </c>
      <c r="K12" s="3">
        <v>25</v>
      </c>
      <c r="L12" s="3">
        <v>15</v>
      </c>
      <c r="M12" s="3">
        <v>6</v>
      </c>
      <c r="N12" s="3">
        <v>1.64</v>
      </c>
      <c r="O12" s="3" t="s">
        <v>42</v>
      </c>
      <c r="P12" s="3">
        <v>900</v>
      </c>
      <c r="Q12" s="3">
        <v>0.4</v>
      </c>
      <c r="R12" s="3">
        <v>60</v>
      </c>
      <c r="S12" s="3">
        <v>1350</v>
      </c>
      <c r="T12" s="3">
        <v>2.21</v>
      </c>
      <c r="U12" s="3" t="s">
        <v>43</v>
      </c>
      <c r="V12" s="3"/>
      <c r="W12" s="3" t="s">
        <v>45</v>
      </c>
      <c r="X12" s="3" t="s">
        <v>53</v>
      </c>
      <c r="Y12" s="3" t="s">
        <v>66</v>
      </c>
      <c r="Z12" s="3">
        <v>512</v>
      </c>
      <c r="AA12" s="3">
        <v>2</v>
      </c>
      <c r="AB12" s="3" t="s">
        <v>54</v>
      </c>
      <c r="AC12" s="3" t="s">
        <v>50</v>
      </c>
      <c r="AD12" s="3"/>
      <c r="AE12" s="3"/>
    </row>
    <row r="13" spans="1:31">
      <c r="A13" s="3" t="s">
        <v>39</v>
      </c>
      <c r="B13" s="3"/>
      <c r="C13" s="3"/>
      <c r="D13" s="3"/>
      <c r="E13" s="3"/>
      <c r="F13" s="3" t="s">
        <v>67</v>
      </c>
      <c r="G13" s="3" t="s">
        <v>52</v>
      </c>
      <c r="H13" s="3" t="s">
        <v>39</v>
      </c>
      <c r="I13" s="3">
        <v>125</v>
      </c>
      <c r="J13" s="3">
        <v>60</v>
      </c>
      <c r="K13" s="3">
        <v>25</v>
      </c>
      <c r="L13" s="3">
        <v>7</v>
      </c>
      <c r="M13" s="3">
        <v>4</v>
      </c>
      <c r="N13" s="3">
        <v>1.64</v>
      </c>
      <c r="O13" s="3" t="s">
        <v>42</v>
      </c>
      <c r="P13" s="3">
        <v>350</v>
      </c>
      <c r="Q13" s="3">
        <v>0.57099999999999995</v>
      </c>
      <c r="R13" s="3">
        <v>50</v>
      </c>
      <c r="S13" s="3">
        <v>525</v>
      </c>
      <c r="T13" s="3">
        <v>0.86</v>
      </c>
      <c r="U13" s="3" t="s">
        <v>43</v>
      </c>
      <c r="V13" s="3" t="s">
        <v>44</v>
      </c>
      <c r="W13" s="3" t="s">
        <v>39</v>
      </c>
      <c r="X13" s="3" t="s">
        <v>53</v>
      </c>
      <c r="Y13" s="3" t="s">
        <v>66</v>
      </c>
      <c r="Z13" s="3">
        <v>512</v>
      </c>
      <c r="AA13" s="3">
        <v>2</v>
      </c>
      <c r="AB13" s="3" t="s">
        <v>54</v>
      </c>
      <c r="AC13" s="3"/>
      <c r="AD13" s="3"/>
      <c r="AE13" s="3" t="s">
        <v>68</v>
      </c>
    </row>
    <row r="14" spans="1:31">
      <c r="A14" s="3" t="s">
        <v>39</v>
      </c>
      <c r="B14" s="3" t="s">
        <v>39</v>
      </c>
      <c r="C14" s="3" t="s">
        <v>39</v>
      </c>
      <c r="D14" s="3" t="s">
        <v>39</v>
      </c>
      <c r="E14" s="3" t="s">
        <v>39</v>
      </c>
      <c r="F14" s="3" t="s">
        <v>69</v>
      </c>
      <c r="G14" s="3" t="s">
        <v>41</v>
      </c>
      <c r="H14" s="3" t="s">
        <v>39</v>
      </c>
      <c r="I14" s="3">
        <v>125</v>
      </c>
      <c r="J14" s="3">
        <v>60</v>
      </c>
      <c r="K14" s="3">
        <v>20</v>
      </c>
      <c r="L14" s="3">
        <v>15</v>
      </c>
      <c r="M14" s="3">
        <v>6</v>
      </c>
      <c r="N14" s="3">
        <v>1.48</v>
      </c>
      <c r="O14" s="3" t="s">
        <v>42</v>
      </c>
      <c r="P14" s="3">
        <v>900</v>
      </c>
      <c r="Q14" s="3">
        <v>0.4</v>
      </c>
      <c r="R14" s="3">
        <v>60</v>
      </c>
      <c r="S14" s="3">
        <v>1080</v>
      </c>
      <c r="T14" s="3">
        <v>1.6</v>
      </c>
      <c r="U14" s="3" t="s">
        <v>49</v>
      </c>
      <c r="V14" s="3" t="s">
        <v>44</v>
      </c>
      <c r="W14" s="3" t="s">
        <v>45</v>
      </c>
      <c r="X14" s="3" t="s">
        <v>53</v>
      </c>
      <c r="Y14" s="3" t="s">
        <v>44</v>
      </c>
      <c r="Z14" s="3">
        <v>512</v>
      </c>
      <c r="AA14" s="3">
        <v>2</v>
      </c>
      <c r="AB14" s="3" t="s">
        <v>54</v>
      </c>
      <c r="AC14" s="3" t="s">
        <v>50</v>
      </c>
      <c r="AD14" s="3"/>
      <c r="AE14" s="3"/>
    </row>
    <row r="15" spans="1:31">
      <c r="A15" s="3" t="s">
        <v>39</v>
      </c>
      <c r="B15" s="3" t="s">
        <v>39</v>
      </c>
      <c r="C15" s="3" t="s">
        <v>39</v>
      </c>
      <c r="D15" s="3" t="s">
        <v>39</v>
      </c>
      <c r="E15" s="3" t="s">
        <v>39</v>
      </c>
      <c r="F15" s="3" t="s">
        <v>70</v>
      </c>
      <c r="G15" s="3" t="s">
        <v>41</v>
      </c>
      <c r="H15" s="3" t="s">
        <v>39</v>
      </c>
      <c r="I15" s="3">
        <v>140</v>
      </c>
      <c r="J15" s="3">
        <v>75</v>
      </c>
      <c r="K15" s="3">
        <v>25</v>
      </c>
      <c r="L15" s="3">
        <v>15</v>
      </c>
      <c r="M15" s="3">
        <v>6</v>
      </c>
      <c r="N15" s="3">
        <v>2.1800000000000002</v>
      </c>
      <c r="O15" s="3" t="s">
        <v>42</v>
      </c>
      <c r="P15" s="3">
        <v>900</v>
      </c>
      <c r="Q15" s="3">
        <v>0.4</v>
      </c>
      <c r="R15" s="3">
        <v>60</v>
      </c>
      <c r="S15" s="3">
        <v>1687</v>
      </c>
      <c r="T15" s="3">
        <v>3.68</v>
      </c>
      <c r="U15" s="3" t="s">
        <v>49</v>
      </c>
      <c r="V15" s="3" t="s">
        <v>44</v>
      </c>
      <c r="W15" s="3" t="s">
        <v>45</v>
      </c>
      <c r="X15" s="3" t="s">
        <v>53</v>
      </c>
      <c r="Y15" s="3" t="s">
        <v>44</v>
      </c>
      <c r="Z15" s="3">
        <v>512</v>
      </c>
      <c r="AA15" s="3">
        <v>2</v>
      </c>
      <c r="AB15" s="3" t="s">
        <v>54</v>
      </c>
      <c r="AC15" s="3" t="s">
        <v>50</v>
      </c>
      <c r="AD15" s="3"/>
      <c r="AE15" s="3"/>
    </row>
    <row r="16" spans="1:31">
      <c r="A16" s="3"/>
      <c r="B16" s="3"/>
      <c r="C16" s="3" t="s">
        <v>39</v>
      </c>
      <c r="D16" s="3"/>
      <c r="E16" s="3"/>
      <c r="F16" s="3" t="s">
        <v>71</v>
      </c>
      <c r="G16" s="3" t="s">
        <v>52</v>
      </c>
      <c r="H16" s="3" t="s">
        <v>39</v>
      </c>
      <c r="I16" s="3">
        <v>100</v>
      </c>
      <c r="J16" s="3">
        <v>15</v>
      </c>
      <c r="K16" s="3">
        <v>20</v>
      </c>
      <c r="L16" s="3">
        <v>15</v>
      </c>
      <c r="M16" s="3">
        <v>6</v>
      </c>
      <c r="N16" s="3">
        <v>1.95</v>
      </c>
      <c r="O16" s="3" t="s">
        <v>58</v>
      </c>
      <c r="P16" s="3">
        <v>500</v>
      </c>
      <c r="Q16" s="3">
        <v>0.4</v>
      </c>
      <c r="R16" s="3">
        <v>33</v>
      </c>
      <c r="S16" s="3">
        <v>150</v>
      </c>
      <c r="T16" s="3">
        <v>0.28999999999999998</v>
      </c>
      <c r="U16" s="3" t="s">
        <v>43</v>
      </c>
      <c r="V16" s="3" t="s">
        <v>72</v>
      </c>
      <c r="W16" s="3" t="s">
        <v>45</v>
      </c>
      <c r="X16" s="3"/>
      <c r="Y16" s="3"/>
      <c r="Z16" s="3"/>
      <c r="AA16" s="3"/>
      <c r="AB16" s="3"/>
      <c r="AC16" s="3"/>
      <c r="AD16" s="3"/>
      <c r="AE16" s="3"/>
    </row>
    <row r="17" spans="1:31">
      <c r="A17" s="3" t="s">
        <v>39</v>
      </c>
      <c r="B17" s="3" t="s">
        <v>39</v>
      </c>
      <c r="C17" s="3"/>
      <c r="D17" s="3" t="s">
        <v>39</v>
      </c>
      <c r="E17" s="3" t="s">
        <v>39</v>
      </c>
      <c r="F17" s="3" t="s">
        <v>73</v>
      </c>
      <c r="G17" s="3" t="s">
        <v>52</v>
      </c>
      <c r="H17" s="3" t="s">
        <v>39</v>
      </c>
      <c r="I17" s="3">
        <v>125</v>
      </c>
      <c r="J17" s="3">
        <v>15</v>
      </c>
      <c r="K17" s="3">
        <v>20</v>
      </c>
      <c r="L17" s="3">
        <v>15</v>
      </c>
      <c r="M17" s="3">
        <v>4.5</v>
      </c>
      <c r="N17" s="3">
        <v>1.32</v>
      </c>
      <c r="O17" s="3" t="s">
        <v>58</v>
      </c>
      <c r="P17" s="3">
        <v>667</v>
      </c>
      <c r="Q17" s="3">
        <v>0.3</v>
      </c>
      <c r="R17" s="3">
        <v>44</v>
      </c>
      <c r="S17" s="3">
        <v>200</v>
      </c>
      <c r="T17" s="3">
        <v>0.26</v>
      </c>
      <c r="U17" s="3" t="s">
        <v>43</v>
      </c>
      <c r="V17" s="3" t="s">
        <v>44</v>
      </c>
      <c r="W17" s="3" t="s">
        <v>45</v>
      </c>
      <c r="X17" s="3" t="s">
        <v>53</v>
      </c>
      <c r="Y17" s="3" t="s">
        <v>44</v>
      </c>
      <c r="Z17" s="3">
        <v>512</v>
      </c>
      <c r="AA17" s="3">
        <v>2</v>
      </c>
      <c r="AB17" s="3" t="s">
        <v>54</v>
      </c>
      <c r="AC17" s="3" t="s">
        <v>47</v>
      </c>
      <c r="AD17" s="3"/>
      <c r="AE17" s="3"/>
    </row>
    <row r="18" spans="1:31">
      <c r="A18" s="3" t="s">
        <v>39</v>
      </c>
      <c r="B18" s="3" t="s">
        <v>39</v>
      </c>
      <c r="C18" s="3"/>
      <c r="D18" s="3" t="s">
        <v>39</v>
      </c>
      <c r="E18" s="3" t="s">
        <v>39</v>
      </c>
      <c r="F18" s="3" t="s">
        <v>74</v>
      </c>
      <c r="G18" s="3" t="s">
        <v>52</v>
      </c>
      <c r="H18" s="3" t="s">
        <v>39</v>
      </c>
      <c r="I18" s="3">
        <v>125</v>
      </c>
      <c r="J18" s="3">
        <v>40</v>
      </c>
      <c r="K18" s="3">
        <v>10</v>
      </c>
      <c r="L18" s="3">
        <v>15</v>
      </c>
      <c r="M18" s="3">
        <v>6</v>
      </c>
      <c r="N18" s="3">
        <v>1.48</v>
      </c>
      <c r="O18" s="3" t="s">
        <v>42</v>
      </c>
      <c r="P18" s="3">
        <v>900</v>
      </c>
      <c r="Q18" s="3">
        <v>0.4</v>
      </c>
      <c r="R18" s="3">
        <v>60</v>
      </c>
      <c r="S18" s="3">
        <v>360</v>
      </c>
      <c r="T18" s="3">
        <v>0.53</v>
      </c>
      <c r="U18" s="3" t="s">
        <v>49</v>
      </c>
      <c r="V18" s="3" t="s">
        <v>44</v>
      </c>
      <c r="W18" s="3" t="s">
        <v>45</v>
      </c>
      <c r="X18" s="3" t="s">
        <v>53</v>
      </c>
      <c r="Y18" s="3" t="s">
        <v>44</v>
      </c>
      <c r="Z18" s="3">
        <v>512</v>
      </c>
      <c r="AA18" s="3">
        <v>2</v>
      </c>
      <c r="AB18" s="3" t="s">
        <v>54</v>
      </c>
      <c r="AC18" s="3" t="s">
        <v>47</v>
      </c>
      <c r="AD18" s="3"/>
      <c r="AE18" s="3"/>
    </row>
    <row r="19" spans="1:31">
      <c r="A19" s="3" t="s">
        <v>39</v>
      </c>
      <c r="B19" s="3" t="s">
        <v>39</v>
      </c>
      <c r="C19" s="3"/>
      <c r="D19" s="3" t="s">
        <v>39</v>
      </c>
      <c r="E19" s="3" t="s">
        <v>39</v>
      </c>
      <c r="F19" s="3" t="s">
        <v>75</v>
      </c>
      <c r="G19" s="3" t="s">
        <v>52</v>
      </c>
      <c r="H19" s="3" t="s">
        <v>39</v>
      </c>
      <c r="I19" s="3">
        <v>125</v>
      </c>
      <c r="J19" s="3">
        <v>20</v>
      </c>
      <c r="K19" s="3">
        <v>10</v>
      </c>
      <c r="L19" s="3">
        <v>15</v>
      </c>
      <c r="M19" s="3">
        <v>6</v>
      </c>
      <c r="N19" s="3">
        <v>1.48</v>
      </c>
      <c r="O19" s="3" t="s">
        <v>42</v>
      </c>
      <c r="P19" s="3">
        <v>900</v>
      </c>
      <c r="Q19" s="3">
        <v>0.4</v>
      </c>
      <c r="R19" s="3">
        <v>60</v>
      </c>
      <c r="S19" s="3">
        <v>180</v>
      </c>
      <c r="T19" s="3">
        <v>0.27</v>
      </c>
      <c r="U19" s="3" t="s">
        <v>49</v>
      </c>
      <c r="V19" s="3" t="s">
        <v>44</v>
      </c>
      <c r="W19" s="3" t="s">
        <v>45</v>
      </c>
      <c r="X19" s="3" t="s">
        <v>53</v>
      </c>
      <c r="Y19" s="3" t="s">
        <v>44</v>
      </c>
      <c r="Z19" s="3">
        <v>512</v>
      </c>
      <c r="AA19" s="3">
        <v>2</v>
      </c>
      <c r="AB19" s="3" t="s">
        <v>54</v>
      </c>
      <c r="AC19" s="3" t="s">
        <v>47</v>
      </c>
      <c r="AD19" s="3"/>
      <c r="AE19" s="3"/>
    </row>
    <row r="20" spans="1:31">
      <c r="A20" s="3" t="s">
        <v>39</v>
      </c>
      <c r="B20" s="3" t="s">
        <v>39</v>
      </c>
      <c r="C20" s="3" t="s">
        <v>39</v>
      </c>
      <c r="D20" s="3" t="s">
        <v>39</v>
      </c>
      <c r="E20" s="3" t="s">
        <v>39</v>
      </c>
      <c r="F20" s="3" t="s">
        <v>76</v>
      </c>
      <c r="G20" s="3" t="s">
        <v>41</v>
      </c>
      <c r="H20" s="3" t="s">
        <v>39</v>
      </c>
      <c r="I20" s="3">
        <v>125</v>
      </c>
      <c r="J20" s="3">
        <v>60</v>
      </c>
      <c r="K20" s="3">
        <v>25</v>
      </c>
      <c r="L20" s="3">
        <v>15</v>
      </c>
      <c r="M20" s="3">
        <v>6</v>
      </c>
      <c r="N20" s="3">
        <v>1.64</v>
      </c>
      <c r="O20" s="3" t="s">
        <v>42</v>
      </c>
      <c r="P20" s="3">
        <v>500</v>
      </c>
      <c r="Q20" s="3">
        <v>0.4</v>
      </c>
      <c r="R20" s="3">
        <v>33</v>
      </c>
      <c r="S20" s="3">
        <v>750</v>
      </c>
      <c r="T20" s="3">
        <v>1.23</v>
      </c>
      <c r="U20" s="3" t="s">
        <v>43</v>
      </c>
      <c r="V20" s="3" t="s">
        <v>44</v>
      </c>
      <c r="W20" s="3" t="s">
        <v>45</v>
      </c>
      <c r="X20" s="3" t="s">
        <v>53</v>
      </c>
      <c r="Y20" s="3" t="s">
        <v>66</v>
      </c>
      <c r="Z20" s="3">
        <v>512</v>
      </c>
      <c r="AA20" s="3">
        <v>2</v>
      </c>
      <c r="AB20" s="3" t="s">
        <v>54</v>
      </c>
      <c r="AC20" s="3" t="s">
        <v>47</v>
      </c>
      <c r="AD20" s="3"/>
      <c r="AE20" s="3"/>
    </row>
    <row r="21" spans="1:31">
      <c r="A21" s="3" t="s">
        <v>39</v>
      </c>
      <c r="B21" s="3" t="s">
        <v>39</v>
      </c>
      <c r="C21" s="3" t="s">
        <v>39</v>
      </c>
      <c r="D21" s="3" t="s">
        <v>39</v>
      </c>
      <c r="E21" s="3" t="s">
        <v>39</v>
      </c>
      <c r="F21" s="3" t="s">
        <v>77</v>
      </c>
      <c r="G21" s="3" t="s">
        <v>41</v>
      </c>
      <c r="H21" s="3" t="s">
        <v>39</v>
      </c>
      <c r="I21" s="3">
        <v>125</v>
      </c>
      <c r="J21" s="3">
        <v>15</v>
      </c>
      <c r="K21" s="3">
        <v>20</v>
      </c>
      <c r="L21" s="3">
        <v>15</v>
      </c>
      <c r="M21" s="3">
        <v>6</v>
      </c>
      <c r="N21" s="3">
        <v>1.48</v>
      </c>
      <c r="O21" s="3" t="s">
        <v>42</v>
      </c>
      <c r="P21" s="3">
        <v>900</v>
      </c>
      <c r="Q21" s="3">
        <v>0.4</v>
      </c>
      <c r="R21" s="3">
        <v>60</v>
      </c>
      <c r="S21" s="3">
        <v>270</v>
      </c>
      <c r="T21" s="3">
        <v>0.4</v>
      </c>
      <c r="U21" s="3" t="s">
        <v>49</v>
      </c>
      <c r="V21" s="3"/>
      <c r="W21" s="3" t="s">
        <v>45</v>
      </c>
      <c r="X21" s="3" t="s">
        <v>53</v>
      </c>
      <c r="Y21" s="3" t="s">
        <v>66</v>
      </c>
      <c r="Z21" s="3">
        <v>512</v>
      </c>
      <c r="AA21" s="3">
        <v>2</v>
      </c>
      <c r="AB21" s="3" t="s">
        <v>54</v>
      </c>
      <c r="AC21" s="3" t="s">
        <v>50</v>
      </c>
      <c r="AD21" s="3"/>
      <c r="AE21" s="3"/>
    </row>
    <row r="22" spans="1:3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>
      <c r="A23" s="3"/>
      <c r="B23" s="3" t="s">
        <v>39</v>
      </c>
      <c r="C23" s="3"/>
      <c r="D23" s="3"/>
      <c r="E23" s="3"/>
      <c r="F23" s="3" t="s">
        <v>78</v>
      </c>
      <c r="G23" s="3" t="s">
        <v>52</v>
      </c>
      <c r="H23" s="3" t="s">
        <v>79</v>
      </c>
      <c r="I23" s="3">
        <v>125</v>
      </c>
      <c r="J23" s="3">
        <v>40</v>
      </c>
      <c r="K23" s="3">
        <v>20</v>
      </c>
      <c r="L23" s="3">
        <v>7</v>
      </c>
      <c r="M23" s="3">
        <v>3</v>
      </c>
      <c r="N23" s="3">
        <v>1.32</v>
      </c>
      <c r="O23" s="3" t="s">
        <v>42</v>
      </c>
      <c r="P23" s="3">
        <v>840</v>
      </c>
      <c r="Q23" s="3">
        <v>0.42899999999999999</v>
      </c>
      <c r="R23" s="3">
        <v>120</v>
      </c>
      <c r="S23" s="3">
        <v>672</v>
      </c>
      <c r="T23" s="3">
        <v>0.89</v>
      </c>
      <c r="U23" s="3" t="s">
        <v>49</v>
      </c>
      <c r="V23" s="3"/>
      <c r="W23" s="3" t="s">
        <v>45</v>
      </c>
      <c r="X23" s="3" t="s">
        <v>46</v>
      </c>
      <c r="Y23" s="3" t="s">
        <v>44</v>
      </c>
      <c r="Z23" s="3">
        <v>384</v>
      </c>
      <c r="AA23" s="3">
        <v>1.5</v>
      </c>
      <c r="AB23" s="3" t="s">
        <v>54</v>
      </c>
      <c r="AC23" s="3" t="s">
        <v>47</v>
      </c>
      <c r="AD23" s="3"/>
      <c r="AE23" s="3"/>
    </row>
    <row r="24" spans="1:3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>
      <c r="A25" s="3"/>
      <c r="B25" s="3"/>
      <c r="C25" s="3" t="s">
        <v>39</v>
      </c>
      <c r="D25" s="3"/>
      <c r="E25" s="3"/>
      <c r="F25" s="3" t="s">
        <v>80</v>
      </c>
      <c r="G25" s="3"/>
      <c r="H25" s="3" t="s">
        <v>79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4" t="s">
        <v>81</v>
      </c>
    </row>
    <row r="26" spans="1:31">
      <c r="A26" s="3"/>
      <c r="B26" s="3"/>
      <c r="C26" s="3" t="s">
        <v>39</v>
      </c>
      <c r="D26" s="3"/>
      <c r="E26" s="3"/>
      <c r="F26" s="3" t="s">
        <v>82</v>
      </c>
      <c r="G26" s="3"/>
      <c r="H26" s="3" t="s">
        <v>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4" t="s">
        <v>81</v>
      </c>
    </row>
    <row r="27" spans="1:31">
      <c r="A27" s="3"/>
      <c r="B27" s="3" t="s">
        <v>39</v>
      </c>
      <c r="C27" s="3"/>
      <c r="D27" s="3"/>
      <c r="E27" s="3"/>
      <c r="F27" s="3" t="s">
        <v>83</v>
      </c>
      <c r="G27" s="3" t="s">
        <v>52</v>
      </c>
      <c r="H27" s="3" t="s">
        <v>39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4" t="s">
        <v>81</v>
      </c>
    </row>
    <row r="28" spans="1:31">
      <c r="A28" s="3"/>
      <c r="B28" s="3" t="s">
        <v>39</v>
      </c>
      <c r="C28" s="3"/>
      <c r="D28" s="3"/>
      <c r="E28" s="3"/>
      <c r="F28" s="3" t="s">
        <v>84</v>
      </c>
      <c r="G28" s="3" t="s">
        <v>52</v>
      </c>
      <c r="H28" s="3" t="s">
        <v>39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4" t="s">
        <v>81</v>
      </c>
    </row>
    <row r="29" spans="1:31">
      <c r="AE29" s="1"/>
    </row>
    <row r="30" spans="1:31">
      <c r="AE30" s="1"/>
    </row>
    <row r="31" spans="1:31">
      <c r="Q31" t="s">
        <v>85</v>
      </c>
      <c r="R31" t="s">
        <v>86</v>
      </c>
      <c r="S31" t="s">
        <v>87</v>
      </c>
      <c r="T31" t="s">
        <v>88</v>
      </c>
      <c r="U31" t="s">
        <v>89</v>
      </c>
      <c r="V31" t="s">
        <v>26</v>
      </c>
      <c r="W31" t="s">
        <v>90</v>
      </c>
      <c r="X31" t="s">
        <v>91</v>
      </c>
      <c r="AE31" s="1"/>
    </row>
    <row r="32" spans="1:31">
      <c r="Q32">
        <v>15</v>
      </c>
      <c r="R32">
        <v>20</v>
      </c>
      <c r="S32">
        <v>11</v>
      </c>
      <c r="T32">
        <v>6</v>
      </c>
      <c r="U32">
        <v>360</v>
      </c>
      <c r="V32" s="5">
        <f>Q32*R32*S32*(U32/T32)/1000</f>
        <v>198</v>
      </c>
      <c r="W32" s="5">
        <f>S32*U32/T32</f>
        <v>660</v>
      </c>
      <c r="X32" s="5">
        <f>U32/T32</f>
        <v>60</v>
      </c>
    </row>
    <row r="33" spans="1:14" ht="20.25" thickBot="1">
      <c r="A33" s="2" t="s">
        <v>92</v>
      </c>
    </row>
    <row r="34" spans="1:14" ht="15.75" thickTop="1"/>
    <row r="35" spans="1:14">
      <c r="B35" s="15" t="s">
        <v>93</v>
      </c>
      <c r="C35" s="15"/>
      <c r="D35" s="16" t="s">
        <v>94</v>
      </c>
      <c r="E35" s="16"/>
      <c r="F35" s="16" t="s">
        <v>95</v>
      </c>
      <c r="G35" s="16"/>
      <c r="H35" s="16"/>
      <c r="I35" s="16"/>
      <c r="J35" s="16"/>
      <c r="K35" s="16"/>
      <c r="L35" s="16"/>
      <c r="M35" s="16"/>
    </row>
    <row r="36" spans="1:14">
      <c r="B36" s="17" t="s">
        <v>96</v>
      </c>
      <c r="C36" s="17"/>
      <c r="D36" s="17"/>
      <c r="E36" s="17"/>
      <c r="F36" s="17" t="s">
        <v>97</v>
      </c>
      <c r="G36" s="17"/>
      <c r="H36" s="17"/>
      <c r="I36" s="17"/>
      <c r="J36" s="17"/>
      <c r="K36" s="17"/>
      <c r="L36" s="17"/>
      <c r="M36" s="17"/>
    </row>
    <row r="37" spans="1:14">
      <c r="B37" s="12" t="s">
        <v>98</v>
      </c>
      <c r="C37" s="12"/>
      <c r="D37" s="17"/>
      <c r="E37" s="17"/>
      <c r="F37" s="17" t="s">
        <v>99</v>
      </c>
      <c r="G37" s="17"/>
      <c r="H37" s="17"/>
      <c r="I37" s="17"/>
      <c r="J37" s="17"/>
      <c r="K37" s="17"/>
      <c r="L37" s="17"/>
      <c r="M37" s="17"/>
    </row>
    <row r="38" spans="1:14">
      <c r="B38" s="17"/>
      <c r="C38" s="17"/>
      <c r="D38" s="12" t="s">
        <v>100</v>
      </c>
      <c r="E38" s="12"/>
      <c r="F38" s="17" t="s">
        <v>101</v>
      </c>
      <c r="G38" s="17"/>
      <c r="H38" s="17"/>
      <c r="I38" s="17"/>
      <c r="J38" s="17"/>
      <c r="K38" s="17"/>
      <c r="L38" s="17"/>
      <c r="M38" s="17"/>
      <c r="N38" t="s">
        <v>102</v>
      </c>
    </row>
    <row r="39" spans="1:14">
      <c r="B39" s="17"/>
      <c r="C39" s="17"/>
      <c r="D39" s="12" t="s">
        <v>51</v>
      </c>
      <c r="E39" s="12"/>
      <c r="F39" s="17" t="s">
        <v>103</v>
      </c>
      <c r="G39" s="17"/>
      <c r="H39" s="17"/>
      <c r="I39" s="17"/>
      <c r="J39" s="17"/>
      <c r="K39" s="17"/>
      <c r="L39" s="17"/>
      <c r="M39" s="17"/>
    </row>
    <row r="40" spans="1:14">
      <c r="B40" s="17"/>
      <c r="C40" s="17"/>
      <c r="D40" s="12" t="s">
        <v>104</v>
      </c>
      <c r="E40" s="12"/>
      <c r="F40" s="17" t="s">
        <v>105</v>
      </c>
      <c r="G40" s="17"/>
      <c r="H40" s="17"/>
      <c r="I40" s="17"/>
      <c r="J40" s="17"/>
      <c r="K40" s="17"/>
      <c r="L40" s="17"/>
      <c r="M40" s="17"/>
    </row>
    <row r="41" spans="1:14">
      <c r="B41" s="17"/>
      <c r="C41" s="17"/>
      <c r="D41" s="12" t="s">
        <v>106</v>
      </c>
      <c r="E41" s="12"/>
      <c r="F41" s="17" t="s">
        <v>105</v>
      </c>
      <c r="G41" s="17"/>
      <c r="H41" s="17"/>
      <c r="I41" s="17"/>
      <c r="J41" s="17"/>
      <c r="K41" s="17"/>
      <c r="L41" s="17"/>
      <c r="M41" s="17"/>
    </row>
    <row r="42" spans="1:14">
      <c r="B42" s="17"/>
      <c r="C42" s="17"/>
      <c r="D42" s="12" t="s">
        <v>107</v>
      </c>
      <c r="E42" s="12"/>
      <c r="F42" s="17" t="s">
        <v>108</v>
      </c>
      <c r="G42" s="17"/>
      <c r="H42" s="17"/>
      <c r="I42" s="17"/>
      <c r="J42" s="17"/>
      <c r="K42" s="17"/>
      <c r="L42" s="17"/>
      <c r="M42" s="17"/>
      <c r="N42" t="s">
        <v>109</v>
      </c>
    </row>
    <row r="43" spans="1:14">
      <c r="B43" s="12" t="s">
        <v>57</v>
      </c>
      <c r="C43" s="12"/>
      <c r="D43" s="17"/>
      <c r="E43" s="17"/>
      <c r="F43" s="17" t="s">
        <v>110</v>
      </c>
      <c r="G43" s="17"/>
      <c r="H43" s="17"/>
      <c r="I43" s="17"/>
      <c r="J43" s="17"/>
      <c r="K43" s="17"/>
      <c r="L43" s="17"/>
      <c r="M43" s="17"/>
    </row>
    <row r="44" spans="1:14">
      <c r="B44" s="17"/>
      <c r="C44" s="17"/>
      <c r="D44" s="12" t="s">
        <v>111</v>
      </c>
      <c r="E44" s="12"/>
      <c r="F44" s="17" t="s">
        <v>112</v>
      </c>
      <c r="G44" s="17"/>
      <c r="H44" s="17"/>
      <c r="I44" s="17"/>
      <c r="J44" s="17"/>
      <c r="K44" s="17"/>
      <c r="L44" s="17"/>
      <c r="M44" s="17"/>
      <c r="N44" t="s">
        <v>113</v>
      </c>
    </row>
    <row r="45" spans="1:14">
      <c r="B45" s="17"/>
      <c r="C45" s="17"/>
      <c r="D45" s="12" t="s">
        <v>114</v>
      </c>
      <c r="E45" s="12"/>
      <c r="F45" s="17" t="s">
        <v>115</v>
      </c>
      <c r="G45" s="17"/>
      <c r="H45" s="17"/>
      <c r="I45" s="17"/>
      <c r="J45" s="17"/>
      <c r="K45" s="17"/>
      <c r="L45" s="17"/>
      <c r="M45" s="17"/>
    </row>
    <row r="46" spans="1:14">
      <c r="B46" s="17"/>
      <c r="C46" s="17"/>
      <c r="D46" s="12" t="s">
        <v>116</v>
      </c>
      <c r="E46" s="12"/>
      <c r="F46" s="17" t="s">
        <v>117</v>
      </c>
      <c r="G46" s="17"/>
      <c r="H46" s="17"/>
      <c r="I46" s="17"/>
      <c r="J46" s="17"/>
      <c r="K46" s="17"/>
      <c r="L46" s="17"/>
      <c r="M46" s="17"/>
      <c r="N46" t="s">
        <v>118</v>
      </c>
    </row>
    <row r="47" spans="1:14">
      <c r="B47" s="12" t="s">
        <v>119</v>
      </c>
      <c r="C47" s="12"/>
      <c r="D47" s="17"/>
      <c r="E47" s="17"/>
      <c r="F47" s="17" t="s">
        <v>120</v>
      </c>
      <c r="G47" s="17"/>
      <c r="H47" s="17"/>
      <c r="I47" s="17"/>
      <c r="J47" s="17"/>
      <c r="K47" s="17"/>
      <c r="L47" s="17"/>
      <c r="M47" s="17"/>
    </row>
    <row r="48" spans="1:14">
      <c r="B48" s="10"/>
      <c r="C48" s="11"/>
      <c r="D48" s="13" t="s">
        <v>121</v>
      </c>
      <c r="E48" s="14"/>
      <c r="F48" s="7"/>
      <c r="G48" s="8"/>
      <c r="H48" s="8"/>
      <c r="I48" s="8"/>
      <c r="J48" s="8"/>
      <c r="K48" s="8"/>
      <c r="L48" s="8"/>
      <c r="M48" s="9"/>
      <c r="N48" t="s">
        <v>122</v>
      </c>
    </row>
    <row r="49" spans="2:14">
      <c r="B49" s="10"/>
      <c r="C49" s="11"/>
      <c r="D49" s="12" t="s">
        <v>123</v>
      </c>
      <c r="E49" s="12"/>
      <c r="F49" s="17" t="s">
        <v>115</v>
      </c>
      <c r="G49" s="17"/>
      <c r="H49" s="17"/>
      <c r="I49" s="17"/>
      <c r="J49" s="17"/>
      <c r="K49" s="17"/>
      <c r="L49" s="17"/>
      <c r="M49" s="17"/>
      <c r="N49" t="s">
        <v>124</v>
      </c>
    </row>
    <row r="50" spans="2:14">
      <c r="B50" s="12" t="s">
        <v>69</v>
      </c>
      <c r="C50" s="12"/>
      <c r="D50" s="17"/>
      <c r="E50" s="17"/>
      <c r="F50" s="17" t="s">
        <v>125</v>
      </c>
      <c r="G50" s="17"/>
      <c r="H50" s="17"/>
      <c r="I50" s="17"/>
      <c r="J50" s="17"/>
      <c r="K50" s="17"/>
      <c r="L50" s="17"/>
      <c r="M50" s="17"/>
    </row>
    <row r="51" spans="2:14" ht="15" customHeight="1">
      <c r="B51" s="12" t="s">
        <v>126</v>
      </c>
      <c r="C51" s="12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2:14">
      <c r="B52" s="17"/>
      <c r="C52" s="17"/>
      <c r="D52" s="12" t="s">
        <v>127</v>
      </c>
      <c r="E52" s="12"/>
      <c r="F52" s="17" t="s">
        <v>128</v>
      </c>
      <c r="G52" s="17"/>
      <c r="H52" s="17"/>
      <c r="I52" s="17"/>
      <c r="J52" s="17"/>
      <c r="K52" s="17"/>
      <c r="L52" s="17"/>
      <c r="M52" s="17"/>
    </row>
    <row r="53" spans="2:14">
      <c r="B53" s="17"/>
      <c r="C53" s="17"/>
      <c r="D53" s="17" t="s">
        <v>129</v>
      </c>
      <c r="E53" s="17"/>
      <c r="F53" s="17" t="s">
        <v>130</v>
      </c>
      <c r="G53" s="17"/>
      <c r="H53" s="17"/>
      <c r="I53" s="17"/>
      <c r="J53" s="17"/>
      <c r="K53" s="17"/>
      <c r="L53" s="17"/>
      <c r="M53" s="17"/>
      <c r="N53" t="s">
        <v>131</v>
      </c>
    </row>
    <row r="54" spans="2:14">
      <c r="B54" s="17"/>
      <c r="C54" s="17"/>
      <c r="D54" s="17" t="s">
        <v>132</v>
      </c>
      <c r="E54" s="17"/>
      <c r="F54" s="17" t="s">
        <v>133</v>
      </c>
      <c r="G54" s="17"/>
      <c r="H54" s="17"/>
      <c r="I54" s="17"/>
      <c r="J54" s="17"/>
      <c r="K54" s="17"/>
      <c r="L54" s="17"/>
      <c r="M54" s="17"/>
      <c r="N54" t="s">
        <v>131</v>
      </c>
    </row>
    <row r="55" spans="2:14">
      <c r="B55" s="12" t="s">
        <v>76</v>
      </c>
      <c r="C55" s="12"/>
      <c r="D55" s="17"/>
      <c r="E55" s="17"/>
      <c r="F55" s="17" t="s">
        <v>134</v>
      </c>
      <c r="G55" s="17"/>
      <c r="H55" s="17"/>
      <c r="I55" s="17"/>
      <c r="J55" s="17"/>
      <c r="K55" s="17"/>
      <c r="L55" s="17"/>
      <c r="M55" s="17"/>
    </row>
    <row r="56" spans="2:14">
      <c r="B56" s="12" t="s">
        <v>77</v>
      </c>
      <c r="C56" s="12"/>
      <c r="D56" s="17"/>
      <c r="E56" s="17"/>
      <c r="F56" s="17" t="s">
        <v>135</v>
      </c>
      <c r="G56" s="17"/>
      <c r="H56" s="17"/>
      <c r="I56" s="17"/>
      <c r="J56" s="17"/>
      <c r="K56" s="17"/>
      <c r="L56" s="17"/>
      <c r="M56" s="17"/>
    </row>
    <row r="57" spans="2:14">
      <c r="B57" s="17"/>
      <c r="C57" s="17"/>
      <c r="D57" s="17" t="s">
        <v>65</v>
      </c>
      <c r="E57" s="17"/>
      <c r="F57" s="18"/>
      <c r="G57" s="19"/>
      <c r="H57" s="19"/>
      <c r="I57" s="19"/>
      <c r="J57" s="19"/>
      <c r="K57" s="19"/>
      <c r="L57" s="19"/>
      <c r="M57" s="20"/>
    </row>
    <row r="58" spans="2:14">
      <c r="B58" s="17"/>
      <c r="C58" s="17"/>
      <c r="D58" s="17" t="s">
        <v>136</v>
      </c>
      <c r="E58" s="17"/>
      <c r="F58" s="18"/>
      <c r="G58" s="19"/>
      <c r="H58" s="19"/>
      <c r="I58" s="19"/>
      <c r="J58" s="19"/>
      <c r="K58" s="19"/>
      <c r="L58" s="19"/>
      <c r="M58" s="20"/>
    </row>
    <row r="62" spans="2:14">
      <c r="B62" s="1" t="s">
        <v>137</v>
      </c>
    </row>
    <row r="63" spans="2:14">
      <c r="C63" t="s">
        <v>138</v>
      </c>
    </row>
    <row r="64" spans="2:14">
      <c r="C64" t="s">
        <v>139</v>
      </c>
    </row>
    <row r="67" spans="2:3">
      <c r="B67" s="1" t="s">
        <v>140</v>
      </c>
    </row>
    <row r="68" spans="2:3">
      <c r="C68" t="s">
        <v>141</v>
      </c>
    </row>
    <row r="69" spans="2:3">
      <c r="C69" t="s">
        <v>142</v>
      </c>
    </row>
    <row r="70" spans="2:3">
      <c r="C70" t="s">
        <v>143</v>
      </c>
    </row>
  </sheetData>
  <sortState xmlns:xlrd2="http://schemas.microsoft.com/office/spreadsheetml/2017/richdata2" ref="A4:I23">
    <sortCondition ref="F4:F23"/>
  </sortState>
  <mergeCells count="72">
    <mergeCell ref="D57:E57"/>
    <mergeCell ref="D58:E58"/>
    <mergeCell ref="F57:M57"/>
    <mergeCell ref="F58:M58"/>
    <mergeCell ref="B56:C56"/>
    <mergeCell ref="B57:C57"/>
    <mergeCell ref="B58:C58"/>
    <mergeCell ref="B50:C50"/>
    <mergeCell ref="B51:C51"/>
    <mergeCell ref="B52:C52"/>
    <mergeCell ref="B53:C53"/>
    <mergeCell ref="B54:C54"/>
    <mergeCell ref="B55:C55"/>
    <mergeCell ref="D55:E55"/>
    <mergeCell ref="D56:E56"/>
    <mergeCell ref="B35:C35"/>
    <mergeCell ref="B36:C36"/>
    <mergeCell ref="B37:C37"/>
    <mergeCell ref="B38:C38"/>
    <mergeCell ref="B39:C39"/>
    <mergeCell ref="B40:C40"/>
    <mergeCell ref="B41:C41"/>
    <mergeCell ref="B42:C42"/>
    <mergeCell ref="D47:E47"/>
    <mergeCell ref="D50:E50"/>
    <mergeCell ref="D51:E51"/>
    <mergeCell ref="D52:E52"/>
    <mergeCell ref="D53:E53"/>
    <mergeCell ref="D54:E54"/>
    <mergeCell ref="D48:E48"/>
    <mergeCell ref="D49:E49"/>
    <mergeCell ref="D41:E41"/>
    <mergeCell ref="D42:E42"/>
    <mergeCell ref="D43:E43"/>
    <mergeCell ref="D44:E44"/>
    <mergeCell ref="D45:E45"/>
    <mergeCell ref="F53:M53"/>
    <mergeCell ref="F54:M54"/>
    <mergeCell ref="F55:M55"/>
    <mergeCell ref="F56:M56"/>
    <mergeCell ref="F52:M52"/>
    <mergeCell ref="D40:E40"/>
    <mergeCell ref="F35:M35"/>
    <mergeCell ref="F36:M36"/>
    <mergeCell ref="F37:M37"/>
    <mergeCell ref="F38:M38"/>
    <mergeCell ref="F39:M39"/>
    <mergeCell ref="F40:M40"/>
    <mergeCell ref="D35:E35"/>
    <mergeCell ref="D36:E36"/>
    <mergeCell ref="D37:E37"/>
    <mergeCell ref="D38:E38"/>
    <mergeCell ref="D39:E39"/>
    <mergeCell ref="B48:C48"/>
    <mergeCell ref="B49:C49"/>
    <mergeCell ref="F41:M41"/>
    <mergeCell ref="F42:M42"/>
    <mergeCell ref="F47:M47"/>
    <mergeCell ref="D46:E46"/>
    <mergeCell ref="B43:C43"/>
    <mergeCell ref="B44:C44"/>
    <mergeCell ref="B45:C45"/>
    <mergeCell ref="B46:C46"/>
    <mergeCell ref="B47:C47"/>
    <mergeCell ref="F50:M50"/>
    <mergeCell ref="F51:M51"/>
    <mergeCell ref="F43:M43"/>
    <mergeCell ref="F44:M44"/>
    <mergeCell ref="F45:M45"/>
    <mergeCell ref="F46:M46"/>
    <mergeCell ref="F49:M49"/>
    <mergeCell ref="F48:M48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cbc9030d81e640854c0116722611bb2e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07747659ba48739c4d8ec91b97a53e44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15D31D-A55C-4261-8C66-AAF4ECE312F0}"/>
</file>

<file path=customXml/itemProps2.xml><?xml version="1.0" encoding="utf-8"?>
<ds:datastoreItem xmlns:ds="http://schemas.openxmlformats.org/officeDocument/2006/customXml" ds:itemID="{82B694A2-6179-4D13-9340-F44E8C2C7B85}"/>
</file>

<file path=customXml/itemProps3.xml><?xml version="1.0" encoding="utf-8"?>
<ds:datastoreItem xmlns:ds="http://schemas.openxmlformats.org/officeDocument/2006/customXml" ds:itemID="{7D0C1264-AB8B-414C-978A-1E9C0C97B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NSW HEALTH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Barber (Western Sydney LHD)</dc:creator>
  <cp:keywords/>
  <dc:description/>
  <cp:lastModifiedBy>Ali Noon (Western Sydney LHD)</cp:lastModifiedBy>
  <cp:revision/>
  <dcterms:created xsi:type="dcterms:W3CDTF">2018-07-22T21:00:55Z</dcterms:created>
  <dcterms:modified xsi:type="dcterms:W3CDTF">2025-09-09T01:16:27Z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0x010100774F5D345E8EBA4EB92136D8E2D175B7</vt:lpwstr>
  </property>
  <property fmtid="{D5CDD505-2E9C-101B-9397-08002B2CF9AE}" pid="3" name="MSIP_Label_76a44f01-6907-4156-9b79-a71e6c56ad93_Enabled">
    <vt:lpwstr>true</vt:lpwstr>
  </property>
  <property fmtid="{D5CDD505-2E9C-101B-9397-08002B2CF9AE}" pid="4" name="MSIP_Label_76a44f01-6907-4156-9b79-a71e6c56ad93_SetDate">
    <vt:lpwstr>2025-09-09T00:55:46Z</vt:lpwstr>
  </property>
  <property fmtid="{D5CDD505-2E9C-101B-9397-08002B2CF9AE}" pid="5" name="MSIP_Label_76a44f01-6907-4156-9b79-a71e6c56ad93_Method">
    <vt:lpwstr>Standard</vt:lpwstr>
  </property>
  <property fmtid="{D5CDD505-2E9C-101B-9397-08002B2CF9AE}" pid="6" name="MSIP_Label_76a44f01-6907-4156-9b79-a71e6c56ad93_Name">
    <vt:lpwstr>OFFICIAL</vt:lpwstr>
  </property>
  <property fmtid="{D5CDD505-2E9C-101B-9397-08002B2CF9AE}" pid="7" name="MSIP_Label_76a44f01-6907-4156-9b79-a71e6c56ad93_SiteId">
    <vt:lpwstr>a687a7bf-02db-43df-bcbb-e7a8bda611a2</vt:lpwstr>
  </property>
  <property fmtid="{D5CDD505-2E9C-101B-9397-08002B2CF9AE}" pid="8" name="MSIP_Label_76a44f01-6907-4156-9b79-a71e6c56ad93_ActionId">
    <vt:lpwstr>8a0bdd39-4ebf-4619-af4e-19854a69e272</vt:lpwstr>
  </property>
  <property fmtid="{D5CDD505-2E9C-101B-9397-08002B2CF9AE}" pid="9" name="MSIP_Label_76a44f01-6907-4156-9b79-a71e6c56ad93_ContentBits">
    <vt:lpwstr>0</vt:lpwstr>
  </property>
  <property fmtid="{D5CDD505-2E9C-101B-9397-08002B2CF9AE}" pid="10" name="MSIP_Label_76a44f01-6907-4156-9b79-a71e6c56ad93_Tag">
    <vt:lpwstr>10, 3, 0, 2</vt:lpwstr>
  </property>
  <property fmtid="{D5CDD505-2E9C-101B-9397-08002B2CF9AE}" pid="11" name="MediaServiceImageTags">
    <vt:lpwstr/>
  </property>
</Properties>
</file>