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swhealth.sharepoint.com/sites/ROMP-WSLHD/Shared Documents/03 Projects/2023 - CBCT Dose PCXMC/from terry/"/>
    </mc:Choice>
  </mc:AlternateContent>
  <xr:revisionPtr revIDLastSave="4" documentId="13_ncr:1_{6E9E7C9B-1A65-4A6B-BE29-2578D106A457}" xr6:coauthVersionLast="47" xr6:coauthVersionMax="47" xr10:uidLastSave="{30AD1BF1-18EC-4CCB-A01C-3D0AFEC2D202}"/>
  <bookViews>
    <workbookView xWindow="-120" yWindow="-120" windowWidth="29040" windowHeight="15720" activeTab="8" xr2:uid="{00000000-000D-0000-FFFF-FFFF00000000}"/>
  </bookViews>
  <sheets>
    <sheet name="Initial tests" sheetId="1" r:id="rId1"/>
    <sheet name="Head" sheetId="2" r:id="rId2"/>
    <sheet name="Pelvis" sheetId="3" r:id="rId3"/>
    <sheet name="Pelvis large" sheetId="7" r:id="rId4"/>
    <sheet name="Breast" sheetId="4" r:id="rId5"/>
    <sheet name="Thorax" sheetId="5" r:id="rId6"/>
    <sheet name="Image gently" sheetId="6" r:id="rId7"/>
    <sheet name="Collated data" sheetId="9" r:id="rId8"/>
    <sheet name="New tests August" sheetId="10" r:id="rId9"/>
    <sheet name="Sheet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9" i="10" l="1"/>
  <c r="E230" i="10" s="1"/>
  <c r="E222" i="10"/>
  <c r="E223" i="10" s="1"/>
  <c r="E215" i="10"/>
  <c r="E216" i="10" s="1"/>
  <c r="E209" i="10"/>
  <c r="AE141" i="10"/>
  <c r="BT102" i="10"/>
  <c r="BT105" i="10"/>
  <c r="BT108" i="10"/>
  <c r="BT111" i="10"/>
  <c r="BT114" i="10"/>
  <c r="BT117" i="10"/>
  <c r="BT120" i="10"/>
  <c r="BT123" i="10"/>
  <c r="BT126" i="10"/>
  <c r="BT129" i="10"/>
  <c r="BT132" i="10"/>
  <c r="BT135" i="10"/>
  <c r="BT138" i="10"/>
  <c r="BT141" i="10"/>
  <c r="BS101" i="10"/>
  <c r="BS106" i="10"/>
  <c r="BS111" i="10"/>
  <c r="BS116" i="10"/>
  <c r="BS121" i="10"/>
  <c r="BS126" i="10"/>
  <c r="BS131" i="10"/>
  <c r="BS136" i="10"/>
  <c r="BS141" i="10"/>
  <c r="BP101" i="10"/>
  <c r="BQ102" i="10"/>
  <c r="BQ105" i="10"/>
  <c r="BQ108" i="10"/>
  <c r="BQ111" i="10"/>
  <c r="BP111" i="10"/>
  <c r="BP121" i="10"/>
  <c r="BP126" i="10"/>
  <c r="BP131" i="10"/>
  <c r="BQ135" i="10"/>
  <c r="BP136" i="10"/>
  <c r="BQ138" i="10"/>
  <c r="BP141" i="10"/>
  <c r="BQ141" i="10"/>
  <c r="BM101" i="10"/>
  <c r="BM106" i="10"/>
  <c r="BM111" i="10"/>
  <c r="BM116" i="10"/>
  <c r="BM121" i="10"/>
  <c r="BM126" i="10"/>
  <c r="BM131" i="10"/>
  <c r="BM136" i="10"/>
  <c r="BN132" i="10"/>
  <c r="BN135" i="10"/>
  <c r="BN138" i="10"/>
  <c r="BN141" i="10"/>
  <c r="BM141" i="10"/>
  <c r="BP106" i="10"/>
  <c r="BP116" i="10"/>
  <c r="CL141" i="10" l="1"/>
  <c r="CM141" i="10"/>
  <c r="CM138" i="10"/>
  <c r="CM135" i="10"/>
  <c r="CM132" i="10"/>
  <c r="CM129" i="10"/>
  <c r="CM126" i="10"/>
  <c r="CM123" i="10"/>
  <c r="CM120" i="10"/>
  <c r="CM117" i="10"/>
  <c r="CM114" i="10"/>
  <c r="CM111" i="10"/>
  <c r="CM108" i="10"/>
  <c r="CM105" i="10"/>
  <c r="CM102" i="10"/>
  <c r="CL101" i="10"/>
  <c r="CL106" i="10"/>
  <c r="CL111" i="10"/>
  <c r="CL116" i="10"/>
  <c r="CL121" i="10"/>
  <c r="CL126" i="10"/>
  <c r="CL131" i="10"/>
  <c r="CL136" i="10"/>
  <c r="CJ141" i="10"/>
  <c r="CJ138" i="10"/>
  <c r="CJ135" i="10"/>
  <c r="CJ132" i="10"/>
  <c r="CJ129" i="10"/>
  <c r="CJ126" i="10"/>
  <c r="CJ123" i="10"/>
  <c r="CJ120" i="10"/>
  <c r="CJ117" i="10"/>
  <c r="CJ114" i="10"/>
  <c r="CJ111" i="10"/>
  <c r="CJ108" i="10"/>
  <c r="CJ105" i="10"/>
  <c r="CJ102" i="10"/>
  <c r="CI101" i="10"/>
  <c r="CI106" i="10"/>
  <c r="CI111" i="10"/>
  <c r="CI116" i="10"/>
  <c r="CI121" i="10"/>
  <c r="CI126" i="10"/>
  <c r="CI131" i="10"/>
  <c r="CI136" i="10"/>
  <c r="CI141" i="10"/>
  <c r="BD127" i="10"/>
  <c r="K12" i="5"/>
  <c r="AA141" i="10"/>
  <c r="AA140" i="10"/>
  <c r="AA139" i="10"/>
  <c r="AA138" i="10"/>
  <c r="AA136" i="10"/>
  <c r="AA134" i="10"/>
  <c r="AA132" i="10"/>
  <c r="AC132" i="10" s="1"/>
  <c r="AA130" i="10"/>
  <c r="AA128" i="10"/>
  <c r="AA126" i="10"/>
  <c r="AC126" i="10" s="1"/>
  <c r="AA124" i="10"/>
  <c r="AA122" i="10"/>
  <c r="AB121" i="10" s="1"/>
  <c r="AA120" i="10"/>
  <c r="AA118" i="10"/>
  <c r="AA116" i="10"/>
  <c r="AA114" i="10"/>
  <c r="AC114" i="10" s="1"/>
  <c r="AA113" i="10"/>
  <c r="AA112" i="10"/>
  <c r="AA111" i="10"/>
  <c r="AA110" i="10"/>
  <c r="AA109" i="10"/>
  <c r="AA108" i="10"/>
  <c r="AA107" i="10"/>
  <c r="AA106" i="10"/>
  <c r="AA105" i="10"/>
  <c r="AA104" i="10"/>
  <c r="AA103" i="10"/>
  <c r="AA102" i="10"/>
  <c r="AA101" i="10"/>
  <c r="AC138" i="10"/>
  <c r="AC123" i="10"/>
  <c r="AC135" i="10"/>
  <c r="Z135" i="10"/>
  <c r="Z132" i="10"/>
  <c r="Z129" i="10"/>
  <c r="Z126" i="10"/>
  <c r="Z123" i="10"/>
  <c r="Z120" i="10"/>
  <c r="Z117" i="10"/>
  <c r="Z114" i="10"/>
  <c r="Z111" i="10"/>
  <c r="Z108" i="10"/>
  <c r="Z105" i="10"/>
  <c r="Z102" i="10"/>
  <c r="Z138" i="10"/>
  <c r="Z141" i="10"/>
  <c r="Y141" i="10"/>
  <c r="BD120" i="10"/>
  <c r="BD113" i="10"/>
  <c r="BD107" i="10"/>
  <c r="BD121" i="10" s="1"/>
  <c r="AF102" i="10"/>
  <c r="AF105" i="10"/>
  <c r="AF108" i="10"/>
  <c r="AE101" i="10"/>
  <c r="AE106" i="10"/>
  <c r="Y101" i="10"/>
  <c r="Y106" i="10"/>
  <c r="I16" i="3"/>
  <c r="AS101" i="10"/>
  <c r="AS102" i="10"/>
  <c r="AS130" i="10" s="1"/>
  <c r="AS103" i="10"/>
  <c r="AU104" i="10" s="1"/>
  <c r="AS104" i="10"/>
  <c r="AS128" i="10" s="1"/>
  <c r="AS105" i="10"/>
  <c r="AS127" i="10" s="1"/>
  <c r="AS106" i="10"/>
  <c r="AS107" i="10"/>
  <c r="AS125" i="10" s="1"/>
  <c r="AS108" i="10"/>
  <c r="AS124" i="10" s="1"/>
  <c r="AS109" i="10"/>
  <c r="AS123" i="10" s="1"/>
  <c r="AS110" i="10"/>
  <c r="AU110" i="10" s="1"/>
  <c r="AS112" i="10"/>
  <c r="AU113" i="10" s="1"/>
  <c r="AS114" i="10"/>
  <c r="AS116" i="10"/>
  <c r="AU116" i="10" s="1"/>
  <c r="AO103" i="10"/>
  <c r="AO104" i="10"/>
  <c r="AO112" i="10"/>
  <c r="AO114" i="10"/>
  <c r="AL101" i="10"/>
  <c r="AL102" i="10"/>
  <c r="AO102" i="10" s="1"/>
  <c r="AL103" i="10"/>
  <c r="AL129" i="10" s="1"/>
  <c r="AO129" i="10" s="1"/>
  <c r="AL104" i="10"/>
  <c r="AL128" i="10" s="1"/>
  <c r="AO128" i="10" s="1"/>
  <c r="AL105" i="10"/>
  <c r="AO105" i="10" s="1"/>
  <c r="AL106" i="10"/>
  <c r="AO106" i="10" s="1"/>
  <c r="AL107" i="10"/>
  <c r="AL125" i="10" s="1"/>
  <c r="AO125" i="10" s="1"/>
  <c r="AL108" i="10"/>
  <c r="AL124" i="10" s="1"/>
  <c r="AL109" i="10"/>
  <c r="AL110" i="10"/>
  <c r="AO110" i="10" s="1"/>
  <c r="AL112" i="10"/>
  <c r="AL120" i="10" s="1"/>
  <c r="AL114" i="10"/>
  <c r="AL116" i="10"/>
  <c r="AO116" i="10" s="1"/>
  <c r="B22" i="4"/>
  <c r="AF141" i="10"/>
  <c r="AF138" i="10"/>
  <c r="AF135" i="10"/>
  <c r="AF132" i="10"/>
  <c r="AF129" i="10"/>
  <c r="AF111" i="10"/>
  <c r="AF114" i="10"/>
  <c r="AF117" i="10"/>
  <c r="AF120" i="10"/>
  <c r="AF123" i="10"/>
  <c r="AE136" i="10"/>
  <c r="AE131" i="10"/>
  <c r="AE126" i="10"/>
  <c r="AE121" i="10"/>
  <c r="AE116" i="10"/>
  <c r="AE111" i="10"/>
  <c r="Y136" i="10"/>
  <c r="Y131" i="10"/>
  <c r="Y126" i="10"/>
  <c r="Y121" i="10"/>
  <c r="Y116" i="10"/>
  <c r="Y111" i="10"/>
  <c r="AF126" i="10"/>
  <c r="AB126" i="10"/>
  <c r="AC129" i="10"/>
  <c r="CD106" i="10" l="1"/>
  <c r="CH106" i="10" s="1"/>
  <c r="CD128" i="10"/>
  <c r="CH128" i="10" s="1"/>
  <c r="AL130" i="10"/>
  <c r="AO107" i="10"/>
  <c r="AS122" i="10"/>
  <c r="AU122" i="10" s="1"/>
  <c r="AB101" i="10"/>
  <c r="AB136" i="10"/>
  <c r="BD128" i="10"/>
  <c r="AN101" i="10"/>
  <c r="AU107" i="10"/>
  <c r="AC108" i="10"/>
  <c r="AC117" i="10"/>
  <c r="AN113" i="10"/>
  <c r="AL122" i="10"/>
  <c r="AO122" i="10" s="1"/>
  <c r="AO108" i="10"/>
  <c r="AQ107" i="10" s="1"/>
  <c r="BV117" i="10"/>
  <c r="AC141" i="10"/>
  <c r="AN110" i="10"/>
  <c r="AM111" i="10"/>
  <c r="AL127" i="10"/>
  <c r="AM101" i="10"/>
  <c r="AN104" i="10"/>
  <c r="AO109" i="10"/>
  <c r="AP111" i="10" s="1"/>
  <c r="AT111" i="10"/>
  <c r="CD138" i="10"/>
  <c r="CH138" i="10" s="1"/>
  <c r="CD130" i="10"/>
  <c r="CD122" i="10"/>
  <c r="CH122" i="10" s="1"/>
  <c r="CD115" i="10"/>
  <c r="CD111" i="10"/>
  <c r="CH111" i="10" s="1"/>
  <c r="CD107" i="10"/>
  <c r="CH107" i="10" s="1"/>
  <c r="CD103" i="10"/>
  <c r="CH103" i="10" s="1"/>
  <c r="CD140" i="10"/>
  <c r="CH140" i="10" s="1"/>
  <c r="CD134" i="10"/>
  <c r="CD126" i="10"/>
  <c r="CD118" i="10"/>
  <c r="CH118" i="10" s="1"/>
  <c r="CD113" i="10"/>
  <c r="CH113" i="10" s="1"/>
  <c r="CD109" i="10"/>
  <c r="CH109" i="10" s="1"/>
  <c r="CD105" i="10"/>
  <c r="CH105" i="10" s="1"/>
  <c r="CD101" i="10"/>
  <c r="CH101" i="10" s="1"/>
  <c r="CD139" i="10"/>
  <c r="CH139" i="10" s="1"/>
  <c r="CD132" i="10"/>
  <c r="CE131" i="10" s="1"/>
  <c r="CD124" i="10"/>
  <c r="CD116" i="10"/>
  <c r="CD112" i="10"/>
  <c r="CH112" i="10" s="1"/>
  <c r="CD108" i="10"/>
  <c r="CH108" i="10" s="1"/>
  <c r="CD104" i="10"/>
  <c r="CD110" i="10"/>
  <c r="CH110" i="10" s="1"/>
  <c r="CD136" i="10"/>
  <c r="CH136" i="10" s="1"/>
  <c r="CD141" i="10"/>
  <c r="CH141" i="10" s="1"/>
  <c r="AO130" i="10"/>
  <c r="AO120" i="10"/>
  <c r="AL123" i="10"/>
  <c r="AO123" i="10" s="1"/>
  <c r="AQ122" i="10" s="1"/>
  <c r="AL131" i="10"/>
  <c r="AO131" i="10" s="1"/>
  <c r="AN116" i="10"/>
  <c r="AO101" i="10"/>
  <c r="AU101" i="10"/>
  <c r="AS126" i="10"/>
  <c r="AT126" i="10" s="1"/>
  <c r="AT106" i="10"/>
  <c r="CD114" i="10"/>
  <c r="CH114" i="10" s="1"/>
  <c r="AL126" i="10"/>
  <c r="AO126" i="10" s="1"/>
  <c r="AM106" i="10"/>
  <c r="AN107" i="10"/>
  <c r="AO124" i="10"/>
  <c r="AU125" i="10"/>
  <c r="AS120" i="10"/>
  <c r="AT121" i="10" s="1"/>
  <c r="AS129" i="10"/>
  <c r="BD114" i="10"/>
  <c r="AB141" i="10"/>
  <c r="CD102" i="10"/>
  <c r="CH102" i="10" s="1"/>
  <c r="CD120" i="10"/>
  <c r="AL118" i="10"/>
  <c r="AM116" i="10"/>
  <c r="AS131" i="10"/>
  <c r="AU131" i="10" s="1"/>
  <c r="AT101" i="10"/>
  <c r="AS118" i="10"/>
  <c r="AC105" i="10"/>
  <c r="AC111" i="10"/>
  <c r="AB131" i="10"/>
  <c r="AB106" i="10"/>
  <c r="AC102" i="10"/>
  <c r="CF123" i="10"/>
  <c r="CF132" i="10"/>
  <c r="CF102" i="10"/>
  <c r="AC120" i="10"/>
  <c r="AQ116" i="10"/>
  <c r="AQ110" i="10"/>
  <c r="AQ113" i="10"/>
  <c r="AQ104" i="10"/>
  <c r="AQ125" i="10"/>
  <c r="AB111" i="10"/>
  <c r="AB116" i="10"/>
  <c r="I11" i="3"/>
  <c r="N104" i="10"/>
  <c r="N128" i="10" s="1"/>
  <c r="N112" i="10"/>
  <c r="N120" i="10" s="1"/>
  <c r="F123" i="10"/>
  <c r="N101" i="10" s="1"/>
  <c r="F122" i="10"/>
  <c r="N102" i="10" s="1"/>
  <c r="N130" i="10" s="1"/>
  <c r="F121" i="10"/>
  <c r="N103" i="10" s="1"/>
  <c r="F120" i="10"/>
  <c r="F119" i="10"/>
  <c r="N105" i="10" s="1"/>
  <c r="N127" i="10" s="1"/>
  <c r="F118" i="10"/>
  <c r="F117" i="10"/>
  <c r="F116" i="10"/>
  <c r="F115" i="10"/>
  <c r="F114" i="10"/>
  <c r="F113" i="10"/>
  <c r="F112" i="10"/>
  <c r="F111" i="10"/>
  <c r="N116" i="10" s="1"/>
  <c r="F110" i="10"/>
  <c r="N115" i="10" s="1"/>
  <c r="N117" i="10" s="1"/>
  <c r="F109" i="10"/>
  <c r="N114" i="10" s="1"/>
  <c r="N118" i="10" s="1"/>
  <c r="F108" i="10"/>
  <c r="F107" i="10"/>
  <c r="F106" i="10"/>
  <c r="N111" i="10" s="1"/>
  <c r="N121" i="10" s="1"/>
  <c r="F105" i="10"/>
  <c r="N110" i="10" s="1"/>
  <c r="N122" i="10" s="1"/>
  <c r="F104" i="10"/>
  <c r="F103" i="10"/>
  <c r="N108" i="10" s="1"/>
  <c r="N124" i="10" s="1"/>
  <c r="F102" i="10"/>
  <c r="N107" i="10" s="1"/>
  <c r="N125" i="10" s="1"/>
  <c r="F101" i="10"/>
  <c r="C171" i="10"/>
  <c r="H104" i="10"/>
  <c r="H103" i="10"/>
  <c r="J104" i="10" s="1"/>
  <c r="H102" i="10"/>
  <c r="H101" i="10"/>
  <c r="H105" i="10"/>
  <c r="H131" i="10"/>
  <c r="H130" i="10"/>
  <c r="H129" i="10"/>
  <c r="H128" i="10"/>
  <c r="H127" i="10"/>
  <c r="J128" i="10" s="1"/>
  <c r="E112" i="10"/>
  <c r="E108" i="10"/>
  <c r="H106" i="10"/>
  <c r="H126" i="10" s="1"/>
  <c r="H107" i="10"/>
  <c r="H125" i="10" s="1"/>
  <c r="J125" i="10" s="1"/>
  <c r="H108" i="10"/>
  <c r="H124" i="10" s="1"/>
  <c r="H109" i="10"/>
  <c r="H110" i="10"/>
  <c r="H122" i="10" s="1"/>
  <c r="H111" i="10"/>
  <c r="H121" i="10" s="1"/>
  <c r="H112" i="10"/>
  <c r="H120" i="10" s="1"/>
  <c r="H113" i="10"/>
  <c r="H119" i="10" s="1"/>
  <c r="H114" i="10"/>
  <c r="H115" i="10"/>
  <c r="H117" i="10" s="1"/>
  <c r="H116" i="10"/>
  <c r="K25" i="10"/>
  <c r="E102" i="10" s="1"/>
  <c r="K27" i="10"/>
  <c r="K29" i="10"/>
  <c r="E103" i="10" s="1"/>
  <c r="K31" i="10"/>
  <c r="E104" i="10" s="1"/>
  <c r="K33" i="10"/>
  <c r="E105" i="10" s="1"/>
  <c r="K110" i="10" s="1"/>
  <c r="K122" i="10" s="1"/>
  <c r="K35" i="10"/>
  <c r="E106" i="10" s="1"/>
  <c r="K37" i="10"/>
  <c r="E107" i="10" s="1"/>
  <c r="K112" i="10" s="1"/>
  <c r="K39" i="10"/>
  <c r="K41" i="10"/>
  <c r="E109" i="10" s="1"/>
  <c r="K114" i="10" s="1"/>
  <c r="K118" i="10" s="1"/>
  <c r="K43" i="10"/>
  <c r="E110" i="10" s="1"/>
  <c r="K115" i="10" s="1"/>
  <c r="K45" i="10"/>
  <c r="E111" i="10" s="1"/>
  <c r="K116" i="10" s="1"/>
  <c r="K47" i="10"/>
  <c r="K51" i="10"/>
  <c r="E113" i="10" s="1"/>
  <c r="K55" i="10"/>
  <c r="E114" i="10" s="1"/>
  <c r="K59" i="10"/>
  <c r="E115" i="10" s="1"/>
  <c r="K61" i="10"/>
  <c r="E116" i="10" s="1"/>
  <c r="K63" i="10"/>
  <c r="E117" i="10" s="1"/>
  <c r="K65" i="10"/>
  <c r="E118" i="10" s="1"/>
  <c r="K67" i="10"/>
  <c r="E119" i="10" s="1"/>
  <c r="K105" i="10" s="1"/>
  <c r="K127" i="10" s="1"/>
  <c r="K69" i="10"/>
  <c r="E120" i="10" s="1"/>
  <c r="K104" i="10" s="1"/>
  <c r="K71" i="10"/>
  <c r="E121" i="10" s="1"/>
  <c r="K103" i="10" s="1"/>
  <c r="K73" i="10"/>
  <c r="E122" i="10" s="1"/>
  <c r="K102" i="10" s="1"/>
  <c r="K130" i="10" s="1"/>
  <c r="K75" i="10"/>
  <c r="E123" i="10" s="1"/>
  <c r="K101" i="10" s="1"/>
  <c r="K23" i="10"/>
  <c r="E101" i="10" s="1"/>
  <c r="K12" i="2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4" i="10"/>
  <c r="Z43" i="10"/>
  <c r="Z42" i="10"/>
  <c r="Z41" i="10"/>
  <c r="Z40" i="10"/>
  <c r="Z39" i="10"/>
  <c r="Z38" i="10"/>
  <c r="Z37" i="10"/>
  <c r="Z36" i="10"/>
  <c r="Z35" i="10"/>
  <c r="Z34" i="10"/>
  <c r="Z33" i="10"/>
  <c r="Z32" i="10"/>
  <c r="Z31" i="10"/>
  <c r="Z30" i="10"/>
  <c r="Z29" i="10"/>
  <c r="Z28" i="10"/>
  <c r="Z27" i="10"/>
  <c r="Z26" i="10"/>
  <c r="Z25" i="10"/>
  <c r="Z24" i="10"/>
  <c r="Z23" i="10"/>
  <c r="Z22" i="10"/>
  <c r="Z21" i="10"/>
  <c r="Z20" i="10"/>
  <c r="Z19" i="10"/>
  <c r="Z18" i="10"/>
  <c r="Z17" i="10"/>
  <c r="Z16" i="10"/>
  <c r="Z15" i="10"/>
  <c r="Z14" i="10"/>
  <c r="Z13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46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13" i="10"/>
  <c r="B44" i="10"/>
  <c r="B46" i="10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A27" i="10"/>
  <c r="P81" i="10"/>
  <c r="O81" i="10"/>
  <c r="P82" i="10"/>
  <c r="O82" i="10"/>
  <c r="P83" i="10"/>
  <c r="O83" i="10"/>
  <c r="J110" i="10" l="1"/>
  <c r="I131" i="10"/>
  <c r="I101" i="10"/>
  <c r="N109" i="10"/>
  <c r="N113" i="10"/>
  <c r="N119" i="10" s="1"/>
  <c r="CF105" i="10"/>
  <c r="AN125" i="10"/>
  <c r="AP106" i="10"/>
  <c r="K106" i="10"/>
  <c r="M107" i="10" s="1"/>
  <c r="J113" i="10"/>
  <c r="J131" i="10"/>
  <c r="N106" i="10"/>
  <c r="P119" i="10"/>
  <c r="J116" i="10"/>
  <c r="K108" i="10"/>
  <c r="K124" i="10" s="1"/>
  <c r="P116" i="10"/>
  <c r="CE116" i="10"/>
  <c r="K131" i="10"/>
  <c r="M101" i="10"/>
  <c r="L101" i="10"/>
  <c r="K120" i="10"/>
  <c r="K113" i="10"/>
  <c r="K119" i="10" s="1"/>
  <c r="P113" i="10"/>
  <c r="M131" i="10"/>
  <c r="K117" i="10"/>
  <c r="L116" i="10" s="1"/>
  <c r="K111" i="10"/>
  <c r="K121" i="10" s="1"/>
  <c r="P101" i="10"/>
  <c r="N131" i="10"/>
  <c r="P131" i="10" s="1"/>
  <c r="O101" i="10"/>
  <c r="M104" i="10"/>
  <c r="K129" i="10"/>
  <c r="L131" i="10" s="1"/>
  <c r="M119" i="10"/>
  <c r="K107" i="10"/>
  <c r="K125" i="10" s="1"/>
  <c r="O111" i="10"/>
  <c r="N123" i="10"/>
  <c r="P122" i="10" s="1"/>
  <c r="P110" i="10"/>
  <c r="K126" i="10"/>
  <c r="K109" i="10"/>
  <c r="K128" i="10"/>
  <c r="N126" i="10"/>
  <c r="P125" i="10" s="1"/>
  <c r="P107" i="10"/>
  <c r="P104" i="10"/>
  <c r="N129" i="10"/>
  <c r="P128" i="10" s="1"/>
  <c r="AP101" i="10"/>
  <c r="AQ101" i="10"/>
  <c r="AQ131" i="10"/>
  <c r="AP131" i="10"/>
  <c r="O106" i="10"/>
  <c r="J101" i="10"/>
  <c r="CE141" i="10"/>
  <c r="CF111" i="10"/>
  <c r="CF114" i="10"/>
  <c r="AU119" i="10"/>
  <c r="AN119" i="10"/>
  <c r="AO118" i="10"/>
  <c r="BL141" i="10"/>
  <c r="BO141" i="10" s="1"/>
  <c r="BL136" i="10"/>
  <c r="BO136" i="10" s="1"/>
  <c r="BL128" i="10"/>
  <c r="BL120" i="10"/>
  <c r="BL105" i="10"/>
  <c r="BL109" i="10"/>
  <c r="BL113" i="10"/>
  <c r="BL101" i="10"/>
  <c r="BL139" i="10"/>
  <c r="BL132" i="10"/>
  <c r="BL124" i="10"/>
  <c r="BL103" i="10"/>
  <c r="BL107" i="10"/>
  <c r="BO107" i="10" s="1"/>
  <c r="BL111" i="10"/>
  <c r="BO111" i="10" s="1"/>
  <c r="BL115" i="10"/>
  <c r="BL138" i="10"/>
  <c r="BO138" i="10" s="1"/>
  <c r="BL130" i="10"/>
  <c r="BL122" i="10"/>
  <c r="BL104" i="10"/>
  <c r="BO104" i="10" s="1"/>
  <c r="BL108" i="10"/>
  <c r="BO108" i="10" s="1"/>
  <c r="BL112" i="10"/>
  <c r="BO112" i="10" s="1"/>
  <c r="BL116" i="10"/>
  <c r="BO116" i="10" s="1"/>
  <c r="BL140" i="10"/>
  <c r="BO140" i="10" s="1"/>
  <c r="BL102" i="10"/>
  <c r="BO102" i="10" s="1"/>
  <c r="BL134" i="10"/>
  <c r="BL106" i="10"/>
  <c r="BO106" i="10" s="1"/>
  <c r="BL114" i="10"/>
  <c r="BO114" i="10" s="1"/>
  <c r="BL126" i="10"/>
  <c r="BL110" i="10"/>
  <c r="BO110" i="10" s="1"/>
  <c r="BL118" i="10"/>
  <c r="AM121" i="10"/>
  <c r="AN131" i="10"/>
  <c r="CF117" i="10"/>
  <c r="CH116" i="10"/>
  <c r="AN128" i="10"/>
  <c r="AO127" i="10"/>
  <c r="AQ128" i="10" s="1"/>
  <c r="AM131" i="10"/>
  <c r="I106" i="10"/>
  <c r="CF135" i="10"/>
  <c r="CE101" i="10"/>
  <c r="CF108" i="10"/>
  <c r="CE111" i="10"/>
  <c r="CH120" i="10"/>
  <c r="CE121" i="10"/>
  <c r="CF120" i="10"/>
  <c r="AT116" i="10"/>
  <c r="AP121" i="10"/>
  <c r="AM126" i="10"/>
  <c r="CH104" i="10"/>
  <c r="CE106" i="10"/>
  <c r="CE126" i="10"/>
  <c r="CH124" i="10"/>
  <c r="CH126" i="10"/>
  <c r="CF126" i="10"/>
  <c r="CF129" i="10"/>
  <c r="CH130" i="10"/>
  <c r="J107" i="10"/>
  <c r="CF138" i="10"/>
  <c r="AT131" i="10"/>
  <c r="AP126" i="10"/>
  <c r="AU128" i="10"/>
  <c r="AN122" i="10"/>
  <c r="CF141" i="10"/>
  <c r="CH132" i="10"/>
  <c r="CH134" i="10"/>
  <c r="CE136" i="10"/>
  <c r="O116" i="10"/>
  <c r="O131" i="10"/>
  <c r="O126" i="10"/>
  <c r="O121" i="10"/>
  <c r="L126" i="10"/>
  <c r="I126" i="10"/>
  <c r="I111" i="10"/>
  <c r="H118" i="10"/>
  <c r="H123" i="10"/>
  <c r="I121" i="10" s="1"/>
  <c r="Q83" i="10"/>
  <c r="Q81" i="10"/>
  <c r="Q82" i="10"/>
  <c r="L106" i="10" l="1"/>
  <c r="M125" i="10"/>
  <c r="M113" i="10"/>
  <c r="M128" i="10"/>
  <c r="BO124" i="10"/>
  <c r="BN114" i="10"/>
  <c r="BO113" i="10"/>
  <c r="BQ114" i="10" s="1"/>
  <c r="BN129" i="10"/>
  <c r="BO128" i="10"/>
  <c r="J122" i="10"/>
  <c r="BN117" i="10"/>
  <c r="BO118" i="10"/>
  <c r="BO122" i="10"/>
  <c r="BQ123" i="10" s="1"/>
  <c r="BN123" i="10"/>
  <c r="BO132" i="10"/>
  <c r="BO109" i="10"/>
  <c r="BO134" i="10"/>
  <c r="BO130" i="10"/>
  <c r="BO139" i="10"/>
  <c r="BO105" i="10"/>
  <c r="I116" i="10"/>
  <c r="J119" i="10"/>
  <c r="BN126" i="10"/>
  <c r="BO126" i="10"/>
  <c r="BQ126" i="10" s="1"/>
  <c r="BN102" i="10"/>
  <c r="BO103" i="10"/>
  <c r="BN108" i="10"/>
  <c r="BO101" i="10"/>
  <c r="BN105" i="10"/>
  <c r="BN111" i="10"/>
  <c r="BN120" i="10"/>
  <c r="BO120" i="10"/>
  <c r="AQ119" i="10"/>
  <c r="AP116" i="10"/>
  <c r="L111" i="10"/>
  <c r="M110" i="10"/>
  <c r="K123" i="10"/>
  <c r="L121" i="10" s="1"/>
  <c r="M116" i="10"/>
  <c r="BQ117" i="10" l="1"/>
  <c r="BQ120" i="10"/>
  <c r="M122" i="10"/>
  <c r="BQ132" i="10"/>
  <c r="BQ129" i="10"/>
  <c r="BV12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Izabela Junis (Western Sydney LHD)</author>
  </authors>
  <commentList>
    <comment ref="D45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Izabela Junis (Western Sydney LHD):</t>
        </r>
        <r>
          <rPr>
            <sz val="9"/>
            <color indexed="81"/>
            <rFont val="Tahoma"/>
            <charset val="1"/>
          </rPr>
          <t xml:space="preserve">
44.72 on repeat.. Seemed to have reset between two halves of profile
</t>
        </r>
      </text>
    </comment>
    <comment ref="J45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Izabela Junis (Western Sydney LHD):</t>
        </r>
        <r>
          <rPr>
            <sz val="9"/>
            <color indexed="81"/>
            <rFont val="Tahoma"/>
            <charset val="1"/>
          </rPr>
          <t xml:space="preserve">
450.5 repeat meas at end of profile set</t>
        </r>
      </text>
    </comment>
    <comment ref="D111" authorId="0" shapeId="0" xr:uid="{508C3D4E-4048-4E60-B1C2-6E43B5A8E3CF}">
      <text>
        <r>
          <rPr>
            <b/>
            <sz val="9"/>
            <color indexed="81"/>
            <rFont val="Tahoma"/>
            <charset val="1"/>
          </rPr>
          <t>Izabela Junis (Western Sydney LHD):</t>
        </r>
        <r>
          <rPr>
            <sz val="9"/>
            <color indexed="81"/>
            <rFont val="Tahoma"/>
            <charset val="1"/>
          </rPr>
          <t xml:space="preserve">
450.5 repeat meas at end of profile set</t>
        </r>
      </text>
    </comment>
  </commentList>
</comments>
</file>

<file path=xl/sharedStrings.xml><?xml version="1.0" encoding="utf-8"?>
<sst xmlns="http://schemas.openxmlformats.org/spreadsheetml/2006/main" count="717" uniqueCount="139">
  <si>
    <t>kv</t>
  </si>
  <si>
    <t>Gy</t>
  </si>
  <si>
    <t>uGy/s</t>
  </si>
  <si>
    <t>couch (cm)</t>
  </si>
  <si>
    <t>test 2</t>
  </si>
  <si>
    <t>Blade pos</t>
  </si>
  <si>
    <t>Head mode</t>
  </si>
  <si>
    <t>x1</t>
  </si>
  <si>
    <t>x2</t>
  </si>
  <si>
    <t>y1</t>
  </si>
  <si>
    <t>y2</t>
  </si>
  <si>
    <t>mA</t>
  </si>
  <si>
    <t>ms</t>
  </si>
  <si>
    <t>hVL</t>
  </si>
  <si>
    <t>8.5 mmAl</t>
  </si>
  <si>
    <t>rf low?</t>
  </si>
  <si>
    <t>Head</t>
  </si>
  <si>
    <t>kvp</t>
  </si>
  <si>
    <t>HVL</t>
  </si>
  <si>
    <t>Total filt</t>
  </si>
  <si>
    <t>mGy/s</t>
  </si>
  <si>
    <t>kV</t>
  </si>
  <si>
    <t>mGy</t>
  </si>
  <si>
    <t>frames/s</t>
  </si>
  <si>
    <t>frame/s</t>
  </si>
  <si>
    <t>mm Al</t>
  </si>
  <si>
    <t>mmAl TF</t>
  </si>
  <si>
    <t>Dose</t>
  </si>
  <si>
    <t>Dose rate</t>
  </si>
  <si>
    <t>Pelvis</t>
  </si>
  <si>
    <t>half arc</t>
  </si>
  <si>
    <t>full fan</t>
  </si>
  <si>
    <t>Thorax</t>
  </si>
  <si>
    <t>Image gently</t>
  </si>
  <si>
    <t>Pelvis large</t>
  </si>
  <si>
    <t>Fan type</t>
  </si>
  <si>
    <t>Arc type</t>
  </si>
  <si>
    <t>Full</t>
  </si>
  <si>
    <t>Half</t>
  </si>
  <si>
    <t>cm</t>
  </si>
  <si>
    <t>rf high</t>
  </si>
  <si>
    <t>Breast 360</t>
  </si>
  <si>
    <t>Breast 200</t>
  </si>
  <si>
    <t>rf low</t>
  </si>
  <si>
    <t>-</t>
  </si>
  <si>
    <t>Blades</t>
  </si>
  <si>
    <t>Mode</t>
  </si>
  <si>
    <t>RF high</t>
  </si>
  <si>
    <t>RF low</t>
  </si>
  <si>
    <t>Couch (cm)</t>
  </si>
  <si>
    <t>Dose rate uGy/s</t>
  </si>
  <si>
    <t>Total Filtration</t>
  </si>
  <si>
    <t>Couch</t>
  </si>
  <si>
    <t>coordinates</t>
  </si>
  <si>
    <t>HVL in Aarons work??</t>
  </si>
  <si>
    <t>filtration</t>
  </si>
  <si>
    <t>Check consistency of acquisitions (each measuremetn fro ma individal DynamicGain shot. In XI tab. Set appropriate  Filter Shape (HalfFan/FullFan) in Position Units tab --&gt;KVs coll--&gt;clinical axes</t>
  </si>
  <si>
    <t>couch moved in LONG</t>
  </si>
  <si>
    <t>G=90, souce at top</t>
  </si>
  <si>
    <t>detector long axis on couch long axis</t>
  </si>
  <si>
    <t>too low for rdg</t>
  </si>
  <si>
    <t>SUP</t>
  </si>
  <si>
    <t>INF</t>
  </si>
  <si>
    <t>INPLANE</t>
  </si>
  <si>
    <t>CROSSPLANE</t>
  </si>
  <si>
    <t>LONG</t>
  </si>
  <si>
    <t>LAT</t>
  </si>
  <si>
    <t>B WALL</t>
  </si>
  <si>
    <t>A WALL</t>
  </si>
  <si>
    <t>colide with gantry head can't go further</t>
  </si>
  <si>
    <t>NOTE ms=30 for these measurements as device didn't work for ms=15</t>
  </si>
  <si>
    <t>NOTE: used 20mA instead of 60 to keep readings in range</t>
  </si>
  <si>
    <t>HVL (TF not working)</t>
  </si>
  <si>
    <t>NOTE: used 20mA instead of 10 as service mode wouldn't let us do planar that low</t>
  </si>
  <si>
    <t>HVL Al</t>
  </si>
  <si>
    <t>We need to convert the dose rate uGy/s ("New tests August" tab) to a mGy per projection</t>
  </si>
  <si>
    <t>use the total frames per second to get the time for one frame</t>
  </si>
  <si>
    <t>s/frame</t>
  </si>
  <si>
    <t>now we can use this to scale the values in New tests August</t>
  </si>
  <si>
    <t>Air kerma per projection</t>
  </si>
  <si>
    <t>mGy/frame</t>
  </si>
  <si>
    <t>mmAl</t>
  </si>
  <si>
    <t>Symmetrical data</t>
  </si>
  <si>
    <t>Dose rate 
uGy/s</t>
  </si>
  <si>
    <t>Grouped Dose 
Rate uGy/s</t>
  </si>
  <si>
    <t>X-PLANE 
couch (cm)</t>
  </si>
  <si>
    <t>Air kerma per 
projection mGy/frame</t>
  </si>
  <si>
    <t>Grouped Air kerma per projection mGy/frame</t>
  </si>
  <si>
    <t>X1</t>
  </si>
  <si>
    <t>X2</t>
  </si>
  <si>
    <t>a</t>
  </si>
  <si>
    <t>b</t>
  </si>
  <si>
    <t>y</t>
  </si>
  <si>
    <t>X-PLANE
couch (cm)</t>
  </si>
  <si>
    <t>Total  Filt mmAl</t>
  </si>
  <si>
    <t>Total Filt mmAl</t>
  </si>
  <si>
    <t>Group total Filt mmAl</t>
  </si>
  <si>
    <t xml:space="preserve">Grouped by 3 Dose 
Rate uGy/s
</t>
  </si>
  <si>
    <t>Group by 3 total Filt mmAl</t>
  </si>
  <si>
    <t>Grouped by 3 Air kerma per projection mGy/frame</t>
  </si>
  <si>
    <t>PELVIS</t>
  </si>
  <si>
    <t>HEAD</t>
  </si>
  <si>
    <t>grouped by 5 total filt mmAl</t>
  </si>
  <si>
    <t>grouped by 3 total filt mmAl</t>
  </si>
  <si>
    <t>grouped by 5 mGy/frame</t>
  </si>
  <si>
    <t>grouped by 3 mGy/frame</t>
  </si>
  <si>
    <t>Grouped by 5 dose rate</t>
  </si>
  <si>
    <t>Grouped by 3 dose rate</t>
  </si>
  <si>
    <t>Symmetric dose rate uGy/s</t>
  </si>
  <si>
    <t>Symmetric Filter</t>
  </si>
  <si>
    <t>Centre of beam</t>
  </si>
  <si>
    <t>AS WITH EVERY GOOG PROJECT, TIME FOR SCALING!</t>
  </si>
  <si>
    <t>Head and Neck</t>
  </si>
  <si>
    <t>mAs</t>
  </si>
  <si>
    <t>scaling factor</t>
  </si>
  <si>
    <t>Thorax (Pelvis scaled for mAs)</t>
  </si>
  <si>
    <t>Outcomes of PCXMC</t>
  </si>
  <si>
    <t>protocol</t>
  </si>
  <si>
    <t>head</t>
  </si>
  <si>
    <t>Breast360</t>
  </si>
  <si>
    <t>H&amp;N/Shoulders</t>
  </si>
  <si>
    <t>ICRP103</t>
  </si>
  <si>
    <t>effectove dose (mSv)</t>
  </si>
  <si>
    <t>male 180cm 88kg</t>
  </si>
  <si>
    <t xml:space="preserve">Hence the Head and neck file was used for </t>
  </si>
  <si>
    <t>breast 360, just relocated to the correct location</t>
  </si>
  <si>
    <t>Head and Neck (Pelvis scaled for mAs) also Breast 360</t>
  </si>
  <si>
    <t>IGNORING THESE NUMBERS, BREAST 360 IS HALF FAN FULL ARC</t>
  </si>
  <si>
    <t>filter</t>
  </si>
  <si>
    <t>dose</t>
  </si>
  <si>
    <t xml:space="preserve">The numbers bolded above show the field size. For the matlab code, a central field is used and is larger than the </t>
  </si>
  <si>
    <t>field shown above, however the fields outside the blades are set to zero.</t>
  </si>
  <si>
    <t>Grouped by 4 dose rate</t>
  </si>
  <si>
    <t>using groups of 5 until the boundary reaches the blade boundaries</t>
  </si>
  <si>
    <t>At PCXMC angle 0 (LtLateral) the thicker part of the half-fan is up and the imager is also up.</t>
  </si>
  <si>
    <t>Breast 360 based on measurements, Brst360 is half fan, therefore this data is incorrect, keep going to the right</t>
  </si>
  <si>
    <t>THIS IS HALF FAN</t>
  </si>
  <si>
    <t>THIS DATA INCORRECT</t>
  </si>
  <si>
    <t>TP analysis below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</si>
</sst>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left"/>
    </xf>
    <xf numFmtId="0" fontId="2" fillId="0" borderId="5" xfId="0" applyFont="1" applyBorder="1"/>
    <xf numFmtId="0" fontId="2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166" fontId="0" fillId="0" borderId="0" xfId="0" applyNumberFormat="1"/>
    <xf numFmtId="2" fontId="0" fillId="0" borderId="0" xfId="0" applyNumberFormat="1"/>
    <xf numFmtId="164" fontId="0" fillId="0" borderId="7" xfId="0" applyNumberFormat="1" applyBorder="1"/>
    <xf numFmtId="0" fontId="6" fillId="0" borderId="4" xfId="0" applyFont="1" applyBorder="1"/>
    <xf numFmtId="0" fontId="5" fillId="0" borderId="0" xfId="0" applyFont="1"/>
    <xf numFmtId="0" fontId="2" fillId="0" borderId="4" xfId="0" applyFont="1" applyBorder="1"/>
    <xf numFmtId="0" fontId="2" fillId="0" borderId="6" xfId="0" applyFont="1" applyBorder="1"/>
    <xf numFmtId="0" fontId="7" fillId="3" borderId="0" xfId="0" applyFont="1" applyFill="1" applyAlignment="1">
      <alignment horizontal="left"/>
    </xf>
    <xf numFmtId="0" fontId="7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56079822083308E-2"/>
          <c:y val="0.1902314814814815"/>
          <c:w val="0.8995291619081965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Head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'Initial tests'!$F$36:$F$66</c:f>
              <c:numCache>
                <c:formatCode>General</c:formatCode>
                <c:ptCount val="3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-9.5</c:v>
                </c:pt>
                <c:pt idx="20">
                  <c:v>-10</c:v>
                </c:pt>
                <c:pt idx="21">
                  <c:v>-10.5</c:v>
                </c:pt>
                <c:pt idx="22">
                  <c:v>-11</c:v>
                </c:pt>
                <c:pt idx="23">
                  <c:v>-11.5</c:v>
                </c:pt>
                <c:pt idx="24">
                  <c:v>-12</c:v>
                </c:pt>
                <c:pt idx="25">
                  <c:v>-12.5</c:v>
                </c:pt>
                <c:pt idx="26">
                  <c:v>-13</c:v>
                </c:pt>
                <c:pt idx="27">
                  <c:v>-13.5</c:v>
                </c:pt>
                <c:pt idx="28">
                  <c:v>-14</c:v>
                </c:pt>
                <c:pt idx="29">
                  <c:v>-14.5</c:v>
                </c:pt>
                <c:pt idx="30">
                  <c:v>-15</c:v>
                </c:pt>
              </c:numCache>
            </c:numRef>
          </c:xVal>
          <c:yVal>
            <c:numRef>
              <c:f>('Initial tests'!$H$36:$H$47,'Initial tests'!$J$48:$J$63)</c:f>
              <c:numCache>
                <c:formatCode>General</c:formatCode>
                <c:ptCount val="28"/>
                <c:pt idx="0">
                  <c:v>167</c:v>
                </c:pt>
                <c:pt idx="1">
                  <c:v>165</c:v>
                </c:pt>
                <c:pt idx="2">
                  <c:v>164</c:v>
                </c:pt>
                <c:pt idx="3">
                  <c:v>162</c:v>
                </c:pt>
                <c:pt idx="4">
                  <c:v>156</c:v>
                </c:pt>
                <c:pt idx="5">
                  <c:v>151</c:v>
                </c:pt>
                <c:pt idx="6">
                  <c:v>145</c:v>
                </c:pt>
                <c:pt idx="7">
                  <c:v>136</c:v>
                </c:pt>
                <c:pt idx="8">
                  <c:v>133</c:v>
                </c:pt>
                <c:pt idx="9">
                  <c:v>111</c:v>
                </c:pt>
                <c:pt idx="10">
                  <c:v>105</c:v>
                </c:pt>
                <c:pt idx="11">
                  <c:v>94</c:v>
                </c:pt>
                <c:pt idx="12">
                  <c:v>72.8</c:v>
                </c:pt>
                <c:pt idx="13">
                  <c:v>60.4</c:v>
                </c:pt>
                <c:pt idx="14">
                  <c:v>46.6</c:v>
                </c:pt>
                <c:pt idx="15">
                  <c:v>33</c:v>
                </c:pt>
                <c:pt idx="16">
                  <c:v>28.5</c:v>
                </c:pt>
                <c:pt idx="17">
                  <c:v>26</c:v>
                </c:pt>
                <c:pt idx="18">
                  <c:v>24.5</c:v>
                </c:pt>
                <c:pt idx="19">
                  <c:v>24.5</c:v>
                </c:pt>
                <c:pt idx="20">
                  <c:v>23.5</c:v>
                </c:pt>
                <c:pt idx="21">
                  <c:v>22</c:v>
                </c:pt>
                <c:pt idx="22">
                  <c:v>21.7</c:v>
                </c:pt>
                <c:pt idx="23">
                  <c:v>21.4</c:v>
                </c:pt>
                <c:pt idx="24">
                  <c:v>21</c:v>
                </c:pt>
                <c:pt idx="25">
                  <c:v>20.7</c:v>
                </c:pt>
                <c:pt idx="26">
                  <c:v>17.899999999999999</c:v>
                </c:pt>
                <c:pt idx="27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6C-4B65-863E-01FDE4648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58040"/>
        <c:axId val="130058824"/>
      </c:scatterChart>
      <c:valAx>
        <c:axId val="13005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Distance</a:t>
                </a:r>
                <a:r>
                  <a:rPr lang="en-AU" baseline="0"/>
                  <a:t> (cm)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8824"/>
        <c:crosses val="autoZero"/>
        <c:crossBetween val="midCat"/>
      </c:valAx>
      <c:valAx>
        <c:axId val="1300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Dose</a:t>
                </a:r>
                <a:r>
                  <a:rPr lang="en-AU" baseline="0"/>
                  <a:t> Rate (uGy/s)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94656488549618323"/>
              <c:y val="0.33192512394284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8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August'!$I$19:$I$75</c:f>
              <c:numCache>
                <c:formatCode>General</c:formatCode>
                <c:ptCount val="57"/>
                <c:pt idx="0">
                  <c:v>12</c:v>
                </c:pt>
                <c:pt idx="1">
                  <c:v>11.5</c:v>
                </c:pt>
                <c:pt idx="2">
                  <c:v>11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9</c:v>
                </c:pt>
                <c:pt idx="7">
                  <c:v>8.75</c:v>
                </c:pt>
                <c:pt idx="8">
                  <c:v>8.5</c:v>
                </c:pt>
                <c:pt idx="9">
                  <c:v>8.25</c:v>
                </c:pt>
                <c:pt idx="10">
                  <c:v>8</c:v>
                </c:pt>
                <c:pt idx="11">
                  <c:v>7.5</c:v>
                </c:pt>
                <c:pt idx="12">
                  <c:v>7</c:v>
                </c:pt>
                <c:pt idx="13">
                  <c:v>6.5</c:v>
                </c:pt>
                <c:pt idx="14">
                  <c:v>6</c:v>
                </c:pt>
                <c:pt idx="15">
                  <c:v>5.5</c:v>
                </c:pt>
                <c:pt idx="16">
                  <c:v>5</c:v>
                </c:pt>
                <c:pt idx="17">
                  <c:v>4.5</c:v>
                </c:pt>
                <c:pt idx="18">
                  <c:v>4</c:v>
                </c:pt>
                <c:pt idx="19">
                  <c:v>3.5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1.5</c:v>
                </c:pt>
                <c:pt idx="24">
                  <c:v>1</c:v>
                </c:pt>
                <c:pt idx="25">
                  <c:v>0.5</c:v>
                </c:pt>
                <c:pt idx="26">
                  <c:v>0</c:v>
                </c:pt>
                <c:pt idx="27">
                  <c:v>-0.5</c:v>
                </c:pt>
                <c:pt idx="28">
                  <c:v>-1</c:v>
                </c:pt>
                <c:pt idx="29">
                  <c:v>-1.5</c:v>
                </c:pt>
                <c:pt idx="30">
                  <c:v>-2</c:v>
                </c:pt>
                <c:pt idx="31">
                  <c:v>-2.5</c:v>
                </c:pt>
                <c:pt idx="32">
                  <c:v>-3</c:v>
                </c:pt>
                <c:pt idx="33">
                  <c:v>-3.5</c:v>
                </c:pt>
                <c:pt idx="34">
                  <c:v>-4</c:v>
                </c:pt>
                <c:pt idx="35">
                  <c:v>-4.5</c:v>
                </c:pt>
                <c:pt idx="36">
                  <c:v>-5</c:v>
                </c:pt>
                <c:pt idx="37">
                  <c:v>-5.5</c:v>
                </c:pt>
                <c:pt idx="38">
                  <c:v>-6</c:v>
                </c:pt>
                <c:pt idx="39">
                  <c:v>-6.5</c:v>
                </c:pt>
                <c:pt idx="40">
                  <c:v>-7</c:v>
                </c:pt>
                <c:pt idx="41">
                  <c:v>-7.5</c:v>
                </c:pt>
                <c:pt idx="42">
                  <c:v>-8</c:v>
                </c:pt>
                <c:pt idx="43">
                  <c:v>-8.5</c:v>
                </c:pt>
                <c:pt idx="44">
                  <c:v>-9</c:v>
                </c:pt>
                <c:pt idx="45">
                  <c:v>-9.5</c:v>
                </c:pt>
                <c:pt idx="46">
                  <c:v>-10</c:v>
                </c:pt>
                <c:pt idx="47">
                  <c:v>-10.5</c:v>
                </c:pt>
                <c:pt idx="48">
                  <c:v>-11</c:v>
                </c:pt>
                <c:pt idx="49">
                  <c:v>-11.5</c:v>
                </c:pt>
                <c:pt idx="50">
                  <c:v>-12</c:v>
                </c:pt>
                <c:pt idx="51">
                  <c:v>-12.5</c:v>
                </c:pt>
                <c:pt idx="52">
                  <c:v>-13</c:v>
                </c:pt>
                <c:pt idx="53">
                  <c:v>-13.5</c:v>
                </c:pt>
                <c:pt idx="54">
                  <c:v>-14</c:v>
                </c:pt>
                <c:pt idx="55">
                  <c:v>-14.5</c:v>
                </c:pt>
                <c:pt idx="56">
                  <c:v>-15</c:v>
                </c:pt>
              </c:numCache>
            </c:numRef>
          </c:xVal>
          <c:yVal>
            <c:numRef>
              <c:f>'New tests August'!$J$19:$J$75</c:f>
              <c:numCache>
                <c:formatCode>General</c:formatCode>
                <c:ptCount val="57"/>
                <c:pt idx="2">
                  <c:v>0</c:v>
                </c:pt>
                <c:pt idx="4">
                  <c:v>67.61</c:v>
                </c:pt>
                <c:pt idx="6">
                  <c:v>79.31</c:v>
                </c:pt>
                <c:pt idx="8">
                  <c:v>93.62</c:v>
                </c:pt>
                <c:pt idx="10">
                  <c:v>124</c:v>
                </c:pt>
                <c:pt idx="12">
                  <c:v>200.7</c:v>
                </c:pt>
                <c:pt idx="14">
                  <c:v>256.60000000000002</c:v>
                </c:pt>
                <c:pt idx="16">
                  <c:v>312.7</c:v>
                </c:pt>
                <c:pt idx="18">
                  <c:v>362</c:v>
                </c:pt>
                <c:pt idx="20">
                  <c:v>399.2</c:v>
                </c:pt>
                <c:pt idx="22">
                  <c:v>430</c:v>
                </c:pt>
                <c:pt idx="24">
                  <c:v>443.3</c:v>
                </c:pt>
                <c:pt idx="26">
                  <c:v>447.2</c:v>
                </c:pt>
                <c:pt idx="28">
                  <c:v>434.4</c:v>
                </c:pt>
                <c:pt idx="32">
                  <c:v>379</c:v>
                </c:pt>
                <c:pt idx="36">
                  <c:v>273</c:v>
                </c:pt>
                <c:pt idx="40">
                  <c:v>153.1</c:v>
                </c:pt>
                <c:pt idx="42">
                  <c:v>86.19</c:v>
                </c:pt>
                <c:pt idx="44">
                  <c:v>70.22</c:v>
                </c:pt>
                <c:pt idx="46">
                  <c:v>64.099999999999994</c:v>
                </c:pt>
                <c:pt idx="48">
                  <c:v>60.83</c:v>
                </c:pt>
                <c:pt idx="50">
                  <c:v>58.72</c:v>
                </c:pt>
                <c:pt idx="52">
                  <c:v>54.67</c:v>
                </c:pt>
                <c:pt idx="54">
                  <c:v>13.51</c:v>
                </c:pt>
                <c:pt idx="56">
                  <c:v>6.3449999999999998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6-45D6-AB5F-C08E3412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9752"/>
        <c:axId val="317177792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August'!$I$19:$I$75</c:f>
              <c:numCache>
                <c:formatCode>General</c:formatCode>
                <c:ptCount val="57"/>
                <c:pt idx="0">
                  <c:v>12</c:v>
                </c:pt>
                <c:pt idx="1">
                  <c:v>11.5</c:v>
                </c:pt>
                <c:pt idx="2">
                  <c:v>11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9</c:v>
                </c:pt>
                <c:pt idx="7">
                  <c:v>8.75</c:v>
                </c:pt>
                <c:pt idx="8">
                  <c:v>8.5</c:v>
                </c:pt>
                <c:pt idx="9">
                  <c:v>8.25</c:v>
                </c:pt>
                <c:pt idx="10">
                  <c:v>8</c:v>
                </c:pt>
                <c:pt idx="11">
                  <c:v>7.5</c:v>
                </c:pt>
                <c:pt idx="12">
                  <c:v>7</c:v>
                </c:pt>
                <c:pt idx="13">
                  <c:v>6.5</c:v>
                </c:pt>
                <c:pt idx="14">
                  <c:v>6</c:v>
                </c:pt>
                <c:pt idx="15">
                  <c:v>5.5</c:v>
                </c:pt>
                <c:pt idx="16">
                  <c:v>5</c:v>
                </c:pt>
                <c:pt idx="17">
                  <c:v>4.5</c:v>
                </c:pt>
                <c:pt idx="18">
                  <c:v>4</c:v>
                </c:pt>
                <c:pt idx="19">
                  <c:v>3.5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1.5</c:v>
                </c:pt>
                <c:pt idx="24">
                  <c:v>1</c:v>
                </c:pt>
                <c:pt idx="25">
                  <c:v>0.5</c:v>
                </c:pt>
                <c:pt idx="26">
                  <c:v>0</c:v>
                </c:pt>
                <c:pt idx="27">
                  <c:v>-0.5</c:v>
                </c:pt>
                <c:pt idx="28">
                  <c:v>-1</c:v>
                </c:pt>
                <c:pt idx="29">
                  <c:v>-1.5</c:v>
                </c:pt>
                <c:pt idx="30">
                  <c:v>-2</c:v>
                </c:pt>
                <c:pt idx="31">
                  <c:v>-2.5</c:v>
                </c:pt>
                <c:pt idx="32">
                  <c:v>-3</c:v>
                </c:pt>
                <c:pt idx="33">
                  <c:v>-3.5</c:v>
                </c:pt>
                <c:pt idx="34">
                  <c:v>-4</c:v>
                </c:pt>
                <c:pt idx="35">
                  <c:v>-4.5</c:v>
                </c:pt>
                <c:pt idx="36">
                  <c:v>-5</c:v>
                </c:pt>
                <c:pt idx="37">
                  <c:v>-5.5</c:v>
                </c:pt>
                <c:pt idx="38">
                  <c:v>-6</c:v>
                </c:pt>
                <c:pt idx="39">
                  <c:v>-6.5</c:v>
                </c:pt>
                <c:pt idx="40">
                  <c:v>-7</c:v>
                </c:pt>
                <c:pt idx="41">
                  <c:v>-7.5</c:v>
                </c:pt>
                <c:pt idx="42">
                  <c:v>-8</c:v>
                </c:pt>
                <c:pt idx="43">
                  <c:v>-8.5</c:v>
                </c:pt>
                <c:pt idx="44">
                  <c:v>-9</c:v>
                </c:pt>
                <c:pt idx="45">
                  <c:v>-9.5</c:v>
                </c:pt>
                <c:pt idx="46">
                  <c:v>-10</c:v>
                </c:pt>
                <c:pt idx="47">
                  <c:v>-10.5</c:v>
                </c:pt>
                <c:pt idx="48">
                  <c:v>-11</c:v>
                </c:pt>
                <c:pt idx="49">
                  <c:v>-11.5</c:v>
                </c:pt>
                <c:pt idx="50">
                  <c:v>-12</c:v>
                </c:pt>
                <c:pt idx="51">
                  <c:v>-12.5</c:v>
                </c:pt>
                <c:pt idx="52">
                  <c:v>-13</c:v>
                </c:pt>
                <c:pt idx="53">
                  <c:v>-13.5</c:v>
                </c:pt>
                <c:pt idx="54">
                  <c:v>-14</c:v>
                </c:pt>
                <c:pt idx="55">
                  <c:v>-14.5</c:v>
                </c:pt>
                <c:pt idx="56">
                  <c:v>-15</c:v>
                </c:pt>
              </c:numCache>
            </c:numRef>
          </c:xVal>
          <c:yVal>
            <c:numRef>
              <c:f>'New tests August'!$M$19:$M$75</c:f>
              <c:numCache>
                <c:formatCode>General</c:formatCode>
                <c:ptCount val="57"/>
                <c:pt idx="4">
                  <c:v>30.54</c:v>
                </c:pt>
                <c:pt idx="6">
                  <c:v>22.48</c:v>
                </c:pt>
                <c:pt idx="8">
                  <c:v>19.600000000000001</c:v>
                </c:pt>
                <c:pt idx="10">
                  <c:v>25.85</c:v>
                </c:pt>
                <c:pt idx="12">
                  <c:v>16.11</c:v>
                </c:pt>
                <c:pt idx="14">
                  <c:v>16.75</c:v>
                </c:pt>
                <c:pt idx="16">
                  <c:v>14.16</c:v>
                </c:pt>
                <c:pt idx="18">
                  <c:v>13.04</c:v>
                </c:pt>
                <c:pt idx="20">
                  <c:v>11.71</c:v>
                </c:pt>
                <c:pt idx="22">
                  <c:v>11.61</c:v>
                </c:pt>
                <c:pt idx="24">
                  <c:v>10.77</c:v>
                </c:pt>
                <c:pt idx="26">
                  <c:v>11.57</c:v>
                </c:pt>
                <c:pt idx="28">
                  <c:v>11.18</c:v>
                </c:pt>
                <c:pt idx="32">
                  <c:v>11.85</c:v>
                </c:pt>
                <c:pt idx="36">
                  <c:v>18.64</c:v>
                </c:pt>
                <c:pt idx="40">
                  <c:v>19.55</c:v>
                </c:pt>
                <c:pt idx="42">
                  <c:v>19.489999999999998</c:v>
                </c:pt>
                <c:pt idx="44">
                  <c:v>23.17</c:v>
                </c:pt>
                <c:pt idx="46">
                  <c:v>24.14</c:v>
                </c:pt>
                <c:pt idx="48">
                  <c:v>25.42</c:v>
                </c:pt>
                <c:pt idx="50">
                  <c:v>26.5</c:v>
                </c:pt>
                <c:pt idx="52">
                  <c:v>21.51</c:v>
                </c:pt>
                <c:pt idx="54">
                  <c:v>14.92</c:v>
                </c:pt>
                <c:pt idx="56">
                  <c:v>8.7759999999999998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6-45D6-AB5F-C08E3412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9360"/>
        <c:axId val="317180928"/>
      </c:scatterChart>
      <c:valAx>
        <c:axId val="31717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7792"/>
        <c:crosses val="autoZero"/>
        <c:crossBetween val="midCat"/>
      </c:valAx>
      <c:valAx>
        <c:axId val="31717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9752"/>
        <c:crosses val="autoZero"/>
        <c:crossBetween val="midCat"/>
      </c:valAx>
      <c:valAx>
        <c:axId val="317180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9360"/>
        <c:crosses val="max"/>
        <c:crossBetween val="midCat"/>
      </c:valAx>
      <c:valAx>
        <c:axId val="317179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18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August'!$AA$19:$AA$75</c:f>
              <c:numCache>
                <c:formatCode>General</c:formatCode>
                <c:ptCount val="57"/>
                <c:pt idx="0">
                  <c:v>12</c:v>
                </c:pt>
                <c:pt idx="1">
                  <c:v>11.5</c:v>
                </c:pt>
                <c:pt idx="2">
                  <c:v>11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9</c:v>
                </c:pt>
                <c:pt idx="8">
                  <c:v>8.5</c:v>
                </c:pt>
                <c:pt idx="10">
                  <c:v>8</c:v>
                </c:pt>
                <c:pt idx="11">
                  <c:v>7.5</c:v>
                </c:pt>
                <c:pt idx="12">
                  <c:v>7</c:v>
                </c:pt>
                <c:pt idx="13">
                  <c:v>6.5</c:v>
                </c:pt>
                <c:pt idx="14">
                  <c:v>6</c:v>
                </c:pt>
                <c:pt idx="15">
                  <c:v>5.5</c:v>
                </c:pt>
                <c:pt idx="16">
                  <c:v>5</c:v>
                </c:pt>
                <c:pt idx="17">
                  <c:v>4.5</c:v>
                </c:pt>
                <c:pt idx="18">
                  <c:v>4</c:v>
                </c:pt>
                <c:pt idx="19">
                  <c:v>3.5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1.5</c:v>
                </c:pt>
                <c:pt idx="24">
                  <c:v>1</c:v>
                </c:pt>
                <c:pt idx="25">
                  <c:v>0.5</c:v>
                </c:pt>
                <c:pt idx="26">
                  <c:v>0</c:v>
                </c:pt>
                <c:pt idx="27">
                  <c:v>-0.5</c:v>
                </c:pt>
                <c:pt idx="28">
                  <c:v>-1</c:v>
                </c:pt>
                <c:pt idx="29">
                  <c:v>-1.5</c:v>
                </c:pt>
                <c:pt idx="30">
                  <c:v>-2</c:v>
                </c:pt>
                <c:pt idx="31">
                  <c:v>-2.5</c:v>
                </c:pt>
                <c:pt idx="32">
                  <c:v>-3</c:v>
                </c:pt>
                <c:pt idx="33">
                  <c:v>-3.5</c:v>
                </c:pt>
                <c:pt idx="34">
                  <c:v>-4</c:v>
                </c:pt>
                <c:pt idx="35">
                  <c:v>-4.5</c:v>
                </c:pt>
                <c:pt idx="36">
                  <c:v>-5</c:v>
                </c:pt>
                <c:pt idx="37">
                  <c:v>-5.5</c:v>
                </c:pt>
                <c:pt idx="38">
                  <c:v>-6</c:v>
                </c:pt>
                <c:pt idx="39">
                  <c:v>-6.5</c:v>
                </c:pt>
                <c:pt idx="40">
                  <c:v>-7</c:v>
                </c:pt>
                <c:pt idx="41">
                  <c:v>-7.5</c:v>
                </c:pt>
                <c:pt idx="42">
                  <c:v>-8</c:v>
                </c:pt>
                <c:pt idx="43">
                  <c:v>-8.5</c:v>
                </c:pt>
                <c:pt idx="44">
                  <c:v>-9</c:v>
                </c:pt>
                <c:pt idx="45">
                  <c:v>-9.5</c:v>
                </c:pt>
                <c:pt idx="46">
                  <c:v>-10</c:v>
                </c:pt>
                <c:pt idx="47">
                  <c:v>-10.5</c:v>
                </c:pt>
                <c:pt idx="48">
                  <c:v>-11</c:v>
                </c:pt>
                <c:pt idx="49">
                  <c:v>-11.5</c:v>
                </c:pt>
                <c:pt idx="50">
                  <c:v>-12</c:v>
                </c:pt>
                <c:pt idx="51">
                  <c:v>-12.5</c:v>
                </c:pt>
                <c:pt idx="52">
                  <c:v>-13</c:v>
                </c:pt>
                <c:pt idx="53">
                  <c:v>-13.5</c:v>
                </c:pt>
                <c:pt idx="54">
                  <c:v>-14</c:v>
                </c:pt>
                <c:pt idx="55">
                  <c:v>-14.5</c:v>
                </c:pt>
                <c:pt idx="56">
                  <c:v>-15</c:v>
                </c:pt>
              </c:numCache>
            </c:numRef>
          </c:xVal>
          <c:yVal>
            <c:numRef>
              <c:f>'New tests August'!$AB$19:$AB$75</c:f>
              <c:numCache>
                <c:formatCode>General</c:formatCode>
                <c:ptCount val="57"/>
                <c:pt idx="3">
                  <c:v>1687</c:v>
                </c:pt>
                <c:pt idx="4">
                  <c:v>1695</c:v>
                </c:pt>
                <c:pt idx="10">
                  <c:v>1704</c:v>
                </c:pt>
                <c:pt idx="14">
                  <c:v>1720</c:v>
                </c:pt>
                <c:pt idx="18">
                  <c:v>1730</c:v>
                </c:pt>
                <c:pt idx="22">
                  <c:v>1727</c:v>
                </c:pt>
                <c:pt idx="26">
                  <c:v>1706</c:v>
                </c:pt>
                <c:pt idx="30">
                  <c:v>1639</c:v>
                </c:pt>
                <c:pt idx="34">
                  <c:v>1471</c:v>
                </c:pt>
                <c:pt idx="38">
                  <c:v>1249</c:v>
                </c:pt>
                <c:pt idx="42">
                  <c:v>963.7</c:v>
                </c:pt>
                <c:pt idx="44">
                  <c:v>802.1</c:v>
                </c:pt>
                <c:pt idx="46">
                  <c:v>605.5</c:v>
                </c:pt>
                <c:pt idx="48">
                  <c:v>420.5</c:v>
                </c:pt>
                <c:pt idx="50">
                  <c:v>352.9</c:v>
                </c:pt>
                <c:pt idx="52">
                  <c:v>300.60000000000002</c:v>
                </c:pt>
                <c:pt idx="54">
                  <c:v>72.78</c:v>
                </c:pt>
                <c:pt idx="56">
                  <c:v>39.53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0-4486-A496-06DA4CD09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7400"/>
        <c:axId val="317177008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August'!$AA$19:$AA$75</c:f>
              <c:numCache>
                <c:formatCode>General</c:formatCode>
                <c:ptCount val="57"/>
                <c:pt idx="0">
                  <c:v>12</c:v>
                </c:pt>
                <c:pt idx="1">
                  <c:v>11.5</c:v>
                </c:pt>
                <c:pt idx="2">
                  <c:v>11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9</c:v>
                </c:pt>
                <c:pt idx="8">
                  <c:v>8.5</c:v>
                </c:pt>
                <c:pt idx="10">
                  <c:v>8</c:v>
                </c:pt>
                <c:pt idx="11">
                  <c:v>7.5</c:v>
                </c:pt>
                <c:pt idx="12">
                  <c:v>7</c:v>
                </c:pt>
                <c:pt idx="13">
                  <c:v>6.5</c:v>
                </c:pt>
                <c:pt idx="14">
                  <c:v>6</c:v>
                </c:pt>
                <c:pt idx="15">
                  <c:v>5.5</c:v>
                </c:pt>
                <c:pt idx="16">
                  <c:v>5</c:v>
                </c:pt>
                <c:pt idx="17">
                  <c:v>4.5</c:v>
                </c:pt>
                <c:pt idx="18">
                  <c:v>4</c:v>
                </c:pt>
                <c:pt idx="19">
                  <c:v>3.5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1.5</c:v>
                </c:pt>
                <c:pt idx="24">
                  <c:v>1</c:v>
                </c:pt>
                <c:pt idx="25">
                  <c:v>0.5</c:v>
                </c:pt>
                <c:pt idx="26">
                  <c:v>0</c:v>
                </c:pt>
                <c:pt idx="27">
                  <c:v>-0.5</c:v>
                </c:pt>
                <c:pt idx="28">
                  <c:v>-1</c:v>
                </c:pt>
                <c:pt idx="29">
                  <c:v>-1.5</c:v>
                </c:pt>
                <c:pt idx="30">
                  <c:v>-2</c:v>
                </c:pt>
                <c:pt idx="31">
                  <c:v>-2.5</c:v>
                </c:pt>
                <c:pt idx="32">
                  <c:v>-3</c:v>
                </c:pt>
                <c:pt idx="33">
                  <c:v>-3.5</c:v>
                </c:pt>
                <c:pt idx="34">
                  <c:v>-4</c:v>
                </c:pt>
                <c:pt idx="35">
                  <c:v>-4.5</c:v>
                </c:pt>
                <c:pt idx="36">
                  <c:v>-5</c:v>
                </c:pt>
                <c:pt idx="37">
                  <c:v>-5.5</c:v>
                </c:pt>
                <c:pt idx="38">
                  <c:v>-6</c:v>
                </c:pt>
                <c:pt idx="39">
                  <c:v>-6.5</c:v>
                </c:pt>
                <c:pt idx="40">
                  <c:v>-7</c:v>
                </c:pt>
                <c:pt idx="41">
                  <c:v>-7.5</c:v>
                </c:pt>
                <c:pt idx="42">
                  <c:v>-8</c:v>
                </c:pt>
                <c:pt idx="43">
                  <c:v>-8.5</c:v>
                </c:pt>
                <c:pt idx="44">
                  <c:v>-9</c:v>
                </c:pt>
                <c:pt idx="45">
                  <c:v>-9.5</c:v>
                </c:pt>
                <c:pt idx="46">
                  <c:v>-10</c:v>
                </c:pt>
                <c:pt idx="47">
                  <c:v>-10.5</c:v>
                </c:pt>
                <c:pt idx="48">
                  <c:v>-11</c:v>
                </c:pt>
                <c:pt idx="49">
                  <c:v>-11.5</c:v>
                </c:pt>
                <c:pt idx="50">
                  <c:v>-12</c:v>
                </c:pt>
                <c:pt idx="51">
                  <c:v>-12.5</c:v>
                </c:pt>
                <c:pt idx="52">
                  <c:v>-13</c:v>
                </c:pt>
                <c:pt idx="53">
                  <c:v>-13.5</c:v>
                </c:pt>
                <c:pt idx="54">
                  <c:v>-14</c:v>
                </c:pt>
                <c:pt idx="55">
                  <c:v>-14.5</c:v>
                </c:pt>
                <c:pt idx="56">
                  <c:v>-15</c:v>
                </c:pt>
              </c:numCache>
            </c:numRef>
          </c:xVal>
          <c:yVal>
            <c:numRef>
              <c:f>'New tests August'!$AC$19:$AC$75</c:f>
              <c:numCache>
                <c:formatCode>General</c:formatCode>
                <c:ptCount val="57"/>
                <c:pt idx="3">
                  <c:v>8.4770000000000003</c:v>
                </c:pt>
                <c:pt idx="4">
                  <c:v>8.5510000000000002</c:v>
                </c:pt>
                <c:pt idx="10">
                  <c:v>8.5920000000000005</c:v>
                </c:pt>
                <c:pt idx="14">
                  <c:v>8.6379999999999999</c:v>
                </c:pt>
                <c:pt idx="18">
                  <c:v>8.5820000000000007</c:v>
                </c:pt>
                <c:pt idx="22">
                  <c:v>8.6270000000000007</c:v>
                </c:pt>
                <c:pt idx="26">
                  <c:v>8.5389999999999997</c:v>
                </c:pt>
                <c:pt idx="30">
                  <c:v>8.6449999999999996</c:v>
                </c:pt>
                <c:pt idx="34">
                  <c:v>8.9930000000000003</c:v>
                </c:pt>
                <c:pt idx="38">
                  <c:v>9.4309999999999992</c:v>
                </c:pt>
                <c:pt idx="42">
                  <c:v>9.8930000000000007</c:v>
                </c:pt>
                <c:pt idx="44">
                  <c:v>10.372999999999999</c:v>
                </c:pt>
                <c:pt idx="46">
                  <c:v>10.759</c:v>
                </c:pt>
                <c:pt idx="48">
                  <c:v>11.279</c:v>
                </c:pt>
                <c:pt idx="50">
                  <c:v>11.333</c:v>
                </c:pt>
                <c:pt idx="52">
                  <c:v>11.343999999999999</c:v>
                </c:pt>
                <c:pt idx="54">
                  <c:v>9.7509999999999994</c:v>
                </c:pt>
                <c:pt idx="56">
                  <c:v>8.6280000000000001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F0-4486-A496-06DA4CD09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991248"/>
        <c:axId val="317176224"/>
      </c:scatterChart>
      <c:valAx>
        <c:axId val="317177400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7008"/>
        <c:crosses val="autoZero"/>
        <c:crossBetween val="midCat"/>
      </c:valAx>
      <c:valAx>
        <c:axId val="3171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7400"/>
        <c:crosses val="autoZero"/>
        <c:crossBetween val="midCat"/>
      </c:valAx>
      <c:valAx>
        <c:axId val="317176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991248"/>
        <c:crosses val="max"/>
        <c:crossBetween val="midCat"/>
      </c:valAx>
      <c:valAx>
        <c:axId val="31599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1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August'!$W$19:$W$75</c:f>
              <c:numCache>
                <c:formatCode>General</c:formatCode>
                <c:ptCount val="57"/>
                <c:pt idx="3">
                  <c:v>10.78</c:v>
                </c:pt>
                <c:pt idx="4">
                  <c:v>10.67</c:v>
                </c:pt>
                <c:pt idx="6">
                  <c:v>10.680999999999999</c:v>
                </c:pt>
                <c:pt idx="10">
                  <c:v>10.101000000000001</c:v>
                </c:pt>
                <c:pt idx="12">
                  <c:v>9.641</c:v>
                </c:pt>
                <c:pt idx="14">
                  <c:v>9.1460000000000008</c:v>
                </c:pt>
                <c:pt idx="18">
                  <c:v>8.4339999999999993</c:v>
                </c:pt>
                <c:pt idx="22">
                  <c:v>8.0489999999999995</c:v>
                </c:pt>
                <c:pt idx="26">
                  <c:v>8.0449999999999999</c:v>
                </c:pt>
                <c:pt idx="30">
                  <c:v>8.34</c:v>
                </c:pt>
                <c:pt idx="34">
                  <c:v>8.6389999999999993</c:v>
                </c:pt>
                <c:pt idx="38">
                  <c:v>9.6069999999999993</c:v>
                </c:pt>
                <c:pt idx="40">
                  <c:v>10.093999999999999</c:v>
                </c:pt>
                <c:pt idx="42">
                  <c:v>10.756</c:v>
                </c:pt>
                <c:pt idx="44">
                  <c:v>10.867000000000001</c:v>
                </c:pt>
                <c:pt idx="46">
                  <c:v>11.16</c:v>
                </c:pt>
                <c:pt idx="48">
                  <c:v>10.629</c:v>
                </c:pt>
                <c:pt idx="50">
                  <c:v>11.227</c:v>
                </c:pt>
                <c:pt idx="52">
                  <c:v>10.95</c:v>
                </c:pt>
                <c:pt idx="54">
                  <c:v>10.807</c:v>
                </c:pt>
                <c:pt idx="56">
                  <c:v>8.7029999999999994</c:v>
                </c:pt>
              </c:numCache>
            </c:numRef>
          </c:xVal>
          <c:yVal>
            <c:numRef>
              <c:f>'New tests August'!$X$19:$X$75</c:f>
              <c:numCache>
                <c:formatCode>General</c:formatCode>
                <c:ptCount val="57"/>
                <c:pt idx="44">
                  <c:v>25.56</c:v>
                </c:pt>
                <c:pt idx="50">
                  <c:v>31.46</c:v>
                </c:pt>
                <c:pt idx="56">
                  <c:v>19.18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8-4281-BAD2-E13A10B3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71456"/>
        <c:axId val="318575768"/>
      </c:scatterChart>
      <c:valAx>
        <c:axId val="318571456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75768"/>
        <c:crosses val="autoZero"/>
        <c:crossBetween val="midCat"/>
      </c:valAx>
      <c:valAx>
        <c:axId val="31857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7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Dose rate vs position across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dose rate uGy/s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August'!$C$101:$C$123</c:f>
              <c:numCache>
                <c:formatCode>General</c:formatCode>
                <c:ptCount val="2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-3</c:v>
                </c:pt>
                <c:pt idx="13">
                  <c:v>-5</c:v>
                </c:pt>
                <c:pt idx="14">
                  <c:v>-7</c:v>
                </c:pt>
                <c:pt idx="15">
                  <c:v>-8</c:v>
                </c:pt>
                <c:pt idx="16">
                  <c:v>-9</c:v>
                </c:pt>
                <c:pt idx="17">
                  <c:v>-10</c:v>
                </c:pt>
                <c:pt idx="18">
                  <c:v>-11</c:v>
                </c:pt>
                <c:pt idx="19">
                  <c:v>-12</c:v>
                </c:pt>
                <c:pt idx="20">
                  <c:v>-13</c:v>
                </c:pt>
                <c:pt idx="21">
                  <c:v>-14</c:v>
                </c:pt>
                <c:pt idx="22">
                  <c:v>-15</c:v>
                </c:pt>
              </c:numCache>
            </c:numRef>
          </c:xVal>
          <c:yVal>
            <c:numRef>
              <c:f>'New tests August'!$D$101:$D$123</c:f>
              <c:numCache>
                <c:formatCode>General</c:formatCode>
                <c:ptCount val="23"/>
                <c:pt idx="0">
                  <c:v>67.61</c:v>
                </c:pt>
                <c:pt idx="1">
                  <c:v>79.31</c:v>
                </c:pt>
                <c:pt idx="2">
                  <c:v>124</c:v>
                </c:pt>
                <c:pt idx="3">
                  <c:v>200.7</c:v>
                </c:pt>
                <c:pt idx="4">
                  <c:v>256.60000000000002</c:v>
                </c:pt>
                <c:pt idx="5">
                  <c:v>312.7</c:v>
                </c:pt>
                <c:pt idx="6">
                  <c:v>362</c:v>
                </c:pt>
                <c:pt idx="7">
                  <c:v>399.2</c:v>
                </c:pt>
                <c:pt idx="8">
                  <c:v>430</c:v>
                </c:pt>
                <c:pt idx="9">
                  <c:v>443.3</c:v>
                </c:pt>
                <c:pt idx="10">
                  <c:v>447.2</c:v>
                </c:pt>
                <c:pt idx="11">
                  <c:v>434.4</c:v>
                </c:pt>
                <c:pt idx="12">
                  <c:v>379</c:v>
                </c:pt>
                <c:pt idx="13">
                  <c:v>273</c:v>
                </c:pt>
                <c:pt idx="14">
                  <c:v>153.1</c:v>
                </c:pt>
                <c:pt idx="15">
                  <c:v>86.19</c:v>
                </c:pt>
                <c:pt idx="16">
                  <c:v>70.22</c:v>
                </c:pt>
                <c:pt idx="17">
                  <c:v>64.099999999999994</c:v>
                </c:pt>
                <c:pt idx="18">
                  <c:v>60.83</c:v>
                </c:pt>
                <c:pt idx="19">
                  <c:v>58.72</c:v>
                </c:pt>
                <c:pt idx="20">
                  <c:v>54.67</c:v>
                </c:pt>
                <c:pt idx="21">
                  <c:v>13.51</c:v>
                </c:pt>
                <c:pt idx="22">
                  <c:v>6.3449999999999998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42-43F9-97B4-66096405FC10}"/>
            </c:ext>
          </c:extLst>
        </c:ser>
        <c:ser>
          <c:idx val="1"/>
          <c:order val="1"/>
          <c:tx>
            <c:v>symmetric dose rate uGy/s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August'!$G$101:$G$131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August'!$H$101:$H$131</c:f>
              <c:numCache>
                <c:formatCode>General</c:formatCode>
                <c:ptCount val="31"/>
                <c:pt idx="0">
                  <c:v>6.3449999999999998</c:v>
                </c:pt>
                <c:pt idx="1">
                  <c:v>13.51</c:v>
                </c:pt>
                <c:pt idx="2">
                  <c:v>54.67</c:v>
                </c:pt>
                <c:pt idx="3">
                  <c:v>58.72</c:v>
                </c:pt>
                <c:pt idx="4">
                  <c:v>60.83</c:v>
                </c:pt>
                <c:pt idx="5">
                  <c:v>67.61</c:v>
                </c:pt>
                <c:pt idx="6">
                  <c:v>79.31</c:v>
                </c:pt>
                <c:pt idx="7">
                  <c:v>124</c:v>
                </c:pt>
                <c:pt idx="8">
                  <c:v>200.7</c:v>
                </c:pt>
                <c:pt idx="9">
                  <c:v>256.60000000000002</c:v>
                </c:pt>
                <c:pt idx="10">
                  <c:v>312.7</c:v>
                </c:pt>
                <c:pt idx="11">
                  <c:v>362</c:v>
                </c:pt>
                <c:pt idx="12">
                  <c:v>399.2</c:v>
                </c:pt>
                <c:pt idx="13">
                  <c:v>430</c:v>
                </c:pt>
                <c:pt idx="14">
                  <c:v>443.3</c:v>
                </c:pt>
                <c:pt idx="15">
                  <c:v>447.2</c:v>
                </c:pt>
                <c:pt idx="16">
                  <c:v>443.3</c:v>
                </c:pt>
                <c:pt idx="17">
                  <c:v>430</c:v>
                </c:pt>
                <c:pt idx="18">
                  <c:v>399.2</c:v>
                </c:pt>
                <c:pt idx="19">
                  <c:v>362</c:v>
                </c:pt>
                <c:pt idx="20">
                  <c:v>312.7</c:v>
                </c:pt>
                <c:pt idx="21">
                  <c:v>256.60000000000002</c:v>
                </c:pt>
                <c:pt idx="22">
                  <c:v>200.7</c:v>
                </c:pt>
                <c:pt idx="23">
                  <c:v>124</c:v>
                </c:pt>
                <c:pt idx="24">
                  <c:v>79.31</c:v>
                </c:pt>
                <c:pt idx="25">
                  <c:v>67.61</c:v>
                </c:pt>
                <c:pt idx="26">
                  <c:v>60.83</c:v>
                </c:pt>
                <c:pt idx="27">
                  <c:v>58.72</c:v>
                </c:pt>
                <c:pt idx="28">
                  <c:v>54.67</c:v>
                </c:pt>
                <c:pt idx="29">
                  <c:v>13.51</c:v>
                </c:pt>
                <c:pt idx="30">
                  <c:v>6.3449999999999998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42-43F9-97B4-66096405FC10}"/>
            </c:ext>
          </c:extLst>
        </c:ser>
        <c:ser>
          <c:idx val="2"/>
          <c:order val="2"/>
          <c:tx>
            <c:v>grouped data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August'!$G$101:$G$131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August'!$I$101:$I$131</c:f>
              <c:numCache>
                <c:formatCode>General</c:formatCode>
                <c:ptCount val="31"/>
                <c:pt idx="0" formatCode="0.0">
                  <c:v>24.841666666666669</c:v>
                </c:pt>
                <c:pt idx="5" formatCode="0.0">
                  <c:v>78.094000000000008</c:v>
                </c:pt>
                <c:pt idx="10" formatCode="0.0">
                  <c:v>306.24</c:v>
                </c:pt>
                <c:pt idx="15" formatCode="0.0">
                  <c:v>438.76000000000005</c:v>
                </c:pt>
                <c:pt idx="20" formatCode="0.0">
                  <c:v>306.24</c:v>
                </c:pt>
                <c:pt idx="25" formatCode="0.0">
                  <c:v>78.094000000000008</c:v>
                </c:pt>
                <c:pt idx="30" formatCode="0.0">
                  <c:v>24.841666666666669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42-43F9-97B4-66096405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84840"/>
        <c:axId val="318008120"/>
      </c:scatterChart>
      <c:valAx>
        <c:axId val="42688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Off-axis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08120"/>
        <c:crosses val="autoZero"/>
        <c:crossBetween val="midCat"/>
      </c:valAx>
      <c:valAx>
        <c:axId val="31800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Dose Rate uGy/s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84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air kerma per projection vs position across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originjal data mGy/frame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August'!$C$101:$C$123</c:f>
              <c:numCache>
                <c:formatCode>General</c:formatCode>
                <c:ptCount val="2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-3</c:v>
                </c:pt>
                <c:pt idx="13">
                  <c:v>-5</c:v>
                </c:pt>
                <c:pt idx="14">
                  <c:v>-7</c:v>
                </c:pt>
                <c:pt idx="15">
                  <c:v>-8</c:v>
                </c:pt>
                <c:pt idx="16">
                  <c:v>-9</c:v>
                </c:pt>
                <c:pt idx="17">
                  <c:v>-10</c:v>
                </c:pt>
                <c:pt idx="18">
                  <c:v>-11</c:v>
                </c:pt>
                <c:pt idx="19">
                  <c:v>-12</c:v>
                </c:pt>
                <c:pt idx="20">
                  <c:v>-13</c:v>
                </c:pt>
                <c:pt idx="21">
                  <c:v>-14</c:v>
                </c:pt>
                <c:pt idx="22">
                  <c:v>-15</c:v>
                </c:pt>
              </c:numCache>
            </c:numRef>
          </c:xVal>
          <c:yVal>
            <c:numRef>
              <c:f>'New tests August'!$E$101:$E$123</c:f>
              <c:numCache>
                <c:formatCode>0.0000</c:formatCode>
                <c:ptCount val="23"/>
                <c:pt idx="0">
                  <c:v>4.5840706764572279E-3</c:v>
                </c:pt>
                <c:pt idx="1">
                  <c:v>5.377350175267308E-3</c:v>
                </c:pt>
                <c:pt idx="2">
                  <c:v>8.4074066540555555E-3</c:v>
                </c:pt>
                <c:pt idx="3">
                  <c:v>1.3607794479588309E-2</c:v>
                </c:pt>
                <c:pt idx="4">
                  <c:v>1.739790764056981E-2</c:v>
                </c:pt>
                <c:pt idx="5">
                  <c:v>2.1201581134864294E-2</c:v>
                </c:pt>
                <c:pt idx="6">
                  <c:v>2.454420329651703E-2</c:v>
                </c:pt>
                <c:pt idx="7">
                  <c:v>2.7066425292733693E-2</c:v>
                </c:pt>
                <c:pt idx="8">
                  <c:v>2.9154716622934593E-2</c:v>
                </c:pt>
                <c:pt idx="9">
                  <c:v>3.005647878824862E-2</c:v>
                </c:pt>
                <c:pt idx="10">
                  <c:v>3.0320905287851974E-2</c:v>
                </c:pt>
                <c:pt idx="11">
                  <c:v>2.9453043955820435E-2</c:v>
                </c:pt>
                <c:pt idx="12">
                  <c:v>2.5696831628121419E-2</c:v>
                </c:pt>
                <c:pt idx="13">
                  <c:v>1.8509854972235219E-2</c:v>
                </c:pt>
                <c:pt idx="14">
                  <c:v>1.0380435151096015E-2</c:v>
                </c:pt>
                <c:pt idx="15">
                  <c:v>5.8438256412342623E-3</c:v>
                </c:pt>
                <c:pt idx="16">
                  <c:v>4.7610330261917844E-3</c:v>
                </c:pt>
                <c:pt idx="17">
                  <c:v>4.3460868268142029E-3</c:v>
                </c:pt>
                <c:pt idx="18">
                  <c:v>4.12437537714677E-3</c:v>
                </c:pt>
                <c:pt idx="19">
                  <c:v>3.9813138606946963E-3</c:v>
                </c:pt>
                <c:pt idx="20">
                  <c:v>3.7067171111065914E-3</c:v>
                </c:pt>
                <c:pt idx="21">
                  <c:v>9.1600051529266589E-4</c:v>
                </c:pt>
                <c:pt idx="22">
                  <c:v>4.3020157435469766E-4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6-45A7-8AA3-5C639C317385}"/>
            </c:ext>
          </c:extLst>
        </c:ser>
        <c:ser>
          <c:idx val="1"/>
          <c:order val="1"/>
          <c:tx>
            <c:v>symmetric dose rate mGy/frame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August'!$G$101:$G$131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August'!$K$101:$K$131</c:f>
              <c:numCache>
                <c:formatCode>0.0000</c:formatCode>
                <c:ptCount val="31"/>
                <c:pt idx="0">
                  <c:v>4.3020157435469766E-4</c:v>
                </c:pt>
                <c:pt idx="1">
                  <c:v>9.1600051529266589E-4</c:v>
                </c:pt>
                <c:pt idx="2">
                  <c:v>3.7067171111065914E-3</c:v>
                </c:pt>
                <c:pt idx="3">
                  <c:v>3.9813138606946963E-3</c:v>
                </c:pt>
                <c:pt idx="4">
                  <c:v>4.12437537714677E-3</c:v>
                </c:pt>
                <c:pt idx="5">
                  <c:v>4.5840706764572279E-3</c:v>
                </c:pt>
                <c:pt idx="6">
                  <c:v>5.377350175267308E-3</c:v>
                </c:pt>
                <c:pt idx="7">
                  <c:v>8.4074066540555555E-3</c:v>
                </c:pt>
                <c:pt idx="8">
                  <c:v>1.3607794479588309E-2</c:v>
                </c:pt>
                <c:pt idx="9">
                  <c:v>1.739790764056981E-2</c:v>
                </c:pt>
                <c:pt idx="10">
                  <c:v>2.1201581134864294E-2</c:v>
                </c:pt>
                <c:pt idx="11">
                  <c:v>2.454420329651703E-2</c:v>
                </c:pt>
                <c:pt idx="12">
                  <c:v>2.7066425292733693E-2</c:v>
                </c:pt>
                <c:pt idx="13">
                  <c:v>2.9154716622934593E-2</c:v>
                </c:pt>
                <c:pt idx="14">
                  <c:v>3.005647878824862E-2</c:v>
                </c:pt>
                <c:pt idx="15">
                  <c:v>3.0320905287851974E-2</c:v>
                </c:pt>
                <c:pt idx="16">
                  <c:v>3.005647878824862E-2</c:v>
                </c:pt>
                <c:pt idx="17">
                  <c:v>2.9154716622934593E-2</c:v>
                </c:pt>
                <c:pt idx="18">
                  <c:v>2.7066425292733693E-2</c:v>
                </c:pt>
                <c:pt idx="19">
                  <c:v>2.454420329651703E-2</c:v>
                </c:pt>
                <c:pt idx="20">
                  <c:v>2.1201581134864294E-2</c:v>
                </c:pt>
                <c:pt idx="21">
                  <c:v>1.739790764056981E-2</c:v>
                </c:pt>
                <c:pt idx="22">
                  <c:v>1.3607794479588309E-2</c:v>
                </c:pt>
                <c:pt idx="23">
                  <c:v>8.4074066540555555E-3</c:v>
                </c:pt>
                <c:pt idx="24">
                  <c:v>5.377350175267308E-3</c:v>
                </c:pt>
                <c:pt idx="25">
                  <c:v>4.5840706764572279E-3</c:v>
                </c:pt>
                <c:pt idx="26">
                  <c:v>4.12437537714677E-3</c:v>
                </c:pt>
                <c:pt idx="27">
                  <c:v>3.9813138606946963E-3</c:v>
                </c:pt>
                <c:pt idx="28">
                  <c:v>3.7067171111065914E-3</c:v>
                </c:pt>
                <c:pt idx="29">
                  <c:v>9.1600051529266589E-4</c:v>
                </c:pt>
                <c:pt idx="30">
                  <c:v>4.3020157435469766E-4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6-45A7-8AA3-5C639C317385}"/>
            </c:ext>
          </c:extLst>
        </c:ser>
        <c:ser>
          <c:idx val="2"/>
          <c:order val="2"/>
          <c:tx>
            <c:v>grouped data mGy/frame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August'!$G$101:$G$131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August'!$L$101:$L$131</c:f>
              <c:numCache>
                <c:formatCode>General</c:formatCode>
                <c:ptCount val="31"/>
                <c:pt idx="0" formatCode="0.0000">
                  <c:v>1.6843064002513182E-3</c:v>
                </c:pt>
                <c:pt idx="5" formatCode="0.0000">
                  <c:v>5.2949033487243117E-3</c:v>
                </c:pt>
                <c:pt idx="10" formatCode="0.0000">
                  <c:v>2.0763582368854627E-2</c:v>
                </c:pt>
                <c:pt idx="15" formatCode="0.0000">
                  <c:v>2.9748659222043682E-2</c:v>
                </c:pt>
                <c:pt idx="20" formatCode="0.0000">
                  <c:v>2.0763582368854627E-2</c:v>
                </c:pt>
                <c:pt idx="25" formatCode="0.0000">
                  <c:v>5.2949033487243117E-3</c:v>
                </c:pt>
                <c:pt idx="30" formatCode="0.0000">
                  <c:v>1.6843064002513182E-3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56-45A7-8AA3-5C639C317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84840"/>
        <c:axId val="318008120"/>
      </c:scatterChart>
      <c:valAx>
        <c:axId val="42688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Off-axis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08120"/>
        <c:crosses val="autoZero"/>
        <c:crossBetween val="midCat"/>
      </c:valAx>
      <c:valAx>
        <c:axId val="31800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Dose Rate per frame mGy/frame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84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Filter mm Alvs position across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Filtration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August'!$C$101:$C$123</c:f>
              <c:numCache>
                <c:formatCode>General</c:formatCode>
                <c:ptCount val="2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-3</c:v>
                </c:pt>
                <c:pt idx="13">
                  <c:v>-5</c:v>
                </c:pt>
                <c:pt idx="14">
                  <c:v>-7</c:v>
                </c:pt>
                <c:pt idx="15">
                  <c:v>-8</c:v>
                </c:pt>
                <c:pt idx="16">
                  <c:v>-9</c:v>
                </c:pt>
                <c:pt idx="17">
                  <c:v>-10</c:v>
                </c:pt>
                <c:pt idx="18">
                  <c:v>-11</c:v>
                </c:pt>
                <c:pt idx="19">
                  <c:v>-12</c:v>
                </c:pt>
                <c:pt idx="20">
                  <c:v>-13</c:v>
                </c:pt>
                <c:pt idx="21">
                  <c:v>-14</c:v>
                </c:pt>
                <c:pt idx="22">
                  <c:v>-15</c:v>
                </c:pt>
              </c:numCache>
            </c:numRef>
          </c:xVal>
          <c:yVal>
            <c:numRef>
              <c:f>'New tests August'!$F$101:$F$123</c:f>
              <c:numCache>
                <c:formatCode>General</c:formatCode>
                <c:ptCount val="23"/>
                <c:pt idx="0">
                  <c:v>30.54</c:v>
                </c:pt>
                <c:pt idx="1">
                  <c:v>22.48</c:v>
                </c:pt>
                <c:pt idx="2">
                  <c:v>25.85</c:v>
                </c:pt>
                <c:pt idx="3">
                  <c:v>16.11</c:v>
                </c:pt>
                <c:pt idx="4">
                  <c:v>16.75</c:v>
                </c:pt>
                <c:pt idx="5">
                  <c:v>14.16</c:v>
                </c:pt>
                <c:pt idx="6">
                  <c:v>13.04</c:v>
                </c:pt>
                <c:pt idx="7">
                  <c:v>11.71</c:v>
                </c:pt>
                <c:pt idx="8">
                  <c:v>11.61</c:v>
                </c:pt>
                <c:pt idx="9">
                  <c:v>10.77</c:v>
                </c:pt>
                <c:pt idx="10">
                  <c:v>11.57</c:v>
                </c:pt>
                <c:pt idx="11">
                  <c:v>11.18</c:v>
                </c:pt>
                <c:pt idx="12">
                  <c:v>11.85</c:v>
                </c:pt>
                <c:pt idx="13">
                  <c:v>18.64</c:v>
                </c:pt>
                <c:pt idx="14">
                  <c:v>19.55</c:v>
                </c:pt>
                <c:pt idx="15">
                  <c:v>19.489999999999998</c:v>
                </c:pt>
                <c:pt idx="16">
                  <c:v>23.17</c:v>
                </c:pt>
                <c:pt idx="17">
                  <c:v>24.14</c:v>
                </c:pt>
                <c:pt idx="18">
                  <c:v>25.42</c:v>
                </c:pt>
                <c:pt idx="19">
                  <c:v>26.5</c:v>
                </c:pt>
                <c:pt idx="20">
                  <c:v>21.51</c:v>
                </c:pt>
                <c:pt idx="21">
                  <c:v>14.92</c:v>
                </c:pt>
                <c:pt idx="22">
                  <c:v>8.7759999999999998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5-4001-953A-9D2134B85AE9}"/>
            </c:ext>
          </c:extLst>
        </c:ser>
        <c:ser>
          <c:idx val="1"/>
          <c:order val="1"/>
          <c:tx>
            <c:v>symmetric filtration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August'!$G$101:$G$131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August'!$N$101:$N$131</c:f>
              <c:numCache>
                <c:formatCode>0.0000</c:formatCode>
                <c:ptCount val="31"/>
                <c:pt idx="0">
                  <c:v>8.7759999999999998</c:v>
                </c:pt>
                <c:pt idx="1">
                  <c:v>14.92</c:v>
                </c:pt>
                <c:pt idx="2">
                  <c:v>21.51</c:v>
                </c:pt>
                <c:pt idx="3">
                  <c:v>26.5</c:v>
                </c:pt>
                <c:pt idx="4">
                  <c:v>25.42</c:v>
                </c:pt>
                <c:pt idx="5">
                  <c:v>30.54</c:v>
                </c:pt>
                <c:pt idx="6">
                  <c:v>23.17</c:v>
                </c:pt>
                <c:pt idx="7">
                  <c:v>25.85</c:v>
                </c:pt>
                <c:pt idx="8">
                  <c:v>19.55</c:v>
                </c:pt>
                <c:pt idx="9">
                  <c:v>16.75</c:v>
                </c:pt>
                <c:pt idx="10">
                  <c:v>18.64</c:v>
                </c:pt>
                <c:pt idx="11">
                  <c:v>13.04</c:v>
                </c:pt>
                <c:pt idx="12">
                  <c:v>11.85</c:v>
                </c:pt>
                <c:pt idx="13">
                  <c:v>11.61</c:v>
                </c:pt>
                <c:pt idx="14">
                  <c:v>11.18</c:v>
                </c:pt>
                <c:pt idx="15">
                  <c:v>11.57</c:v>
                </c:pt>
                <c:pt idx="16">
                  <c:v>11.18</c:v>
                </c:pt>
                <c:pt idx="17">
                  <c:v>11.61</c:v>
                </c:pt>
                <c:pt idx="18">
                  <c:v>11.85</c:v>
                </c:pt>
                <c:pt idx="19">
                  <c:v>13.04</c:v>
                </c:pt>
                <c:pt idx="20">
                  <c:v>18.64</c:v>
                </c:pt>
                <c:pt idx="21">
                  <c:v>16.75</c:v>
                </c:pt>
                <c:pt idx="22">
                  <c:v>19.55</c:v>
                </c:pt>
                <c:pt idx="23">
                  <c:v>25.85</c:v>
                </c:pt>
                <c:pt idx="24">
                  <c:v>23.17</c:v>
                </c:pt>
                <c:pt idx="25">
                  <c:v>30.54</c:v>
                </c:pt>
                <c:pt idx="26">
                  <c:v>25.42</c:v>
                </c:pt>
                <c:pt idx="27">
                  <c:v>26.5</c:v>
                </c:pt>
                <c:pt idx="28">
                  <c:v>21.51</c:v>
                </c:pt>
                <c:pt idx="29">
                  <c:v>14.92</c:v>
                </c:pt>
                <c:pt idx="30">
                  <c:v>8.7759999999999998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5-4001-953A-9D2134B85AE9}"/>
            </c:ext>
          </c:extLst>
        </c:ser>
        <c:ser>
          <c:idx val="2"/>
          <c:order val="2"/>
          <c:tx>
            <c:v>grouped filtration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August'!$G$101:$G$131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August'!$O$101:$O$131</c:f>
              <c:numCache>
                <c:formatCode>General</c:formatCode>
                <c:ptCount val="31"/>
                <c:pt idx="0" formatCode="0.0000">
                  <c:v>15.068666666666667</c:v>
                </c:pt>
                <c:pt idx="5" formatCode="0.0000">
                  <c:v>26.296000000000003</c:v>
                </c:pt>
                <c:pt idx="10" formatCode="0.0000">
                  <c:v>15.965999999999998</c:v>
                </c:pt>
                <c:pt idx="15" formatCode="0.0000">
                  <c:v>11.43</c:v>
                </c:pt>
                <c:pt idx="20" formatCode="0.0000">
                  <c:v>15.965999999999999</c:v>
                </c:pt>
                <c:pt idx="25" formatCode="0.0000">
                  <c:v>26.296000000000003</c:v>
                </c:pt>
                <c:pt idx="30" formatCode="0.0000">
                  <c:v>15.068666666666667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85-4001-953A-9D2134B85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84840"/>
        <c:axId val="318008120"/>
      </c:scatterChart>
      <c:valAx>
        <c:axId val="42688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Off-axis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08120"/>
        <c:crosses val="autoZero"/>
        <c:crossBetween val="midCat"/>
      </c:valAx>
      <c:valAx>
        <c:axId val="31800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Filter</a:t>
                </a:r>
                <a:r>
                  <a:rPr lang="en-AU" baseline="0"/>
                  <a:t> mmAl equivalent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84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air kerma per projection vs position across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August'!$W$101:$W$141</c:f>
              <c:numCache>
                <c:formatCode>General</c:formatCode>
                <c:ptCount val="41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-1</c:v>
                </c:pt>
                <c:pt idx="27">
                  <c:v>-2</c:v>
                </c:pt>
                <c:pt idx="28">
                  <c:v>-3</c:v>
                </c:pt>
                <c:pt idx="29">
                  <c:v>-4</c:v>
                </c:pt>
                <c:pt idx="30">
                  <c:v>-5</c:v>
                </c:pt>
                <c:pt idx="31">
                  <c:v>-6</c:v>
                </c:pt>
                <c:pt idx="32">
                  <c:v>-7</c:v>
                </c:pt>
                <c:pt idx="33">
                  <c:v>-8</c:v>
                </c:pt>
                <c:pt idx="34">
                  <c:v>-9</c:v>
                </c:pt>
                <c:pt idx="35">
                  <c:v>-10</c:v>
                </c:pt>
                <c:pt idx="36">
                  <c:v>-11</c:v>
                </c:pt>
                <c:pt idx="37">
                  <c:v>-12</c:v>
                </c:pt>
                <c:pt idx="38">
                  <c:v>-13</c:v>
                </c:pt>
                <c:pt idx="39">
                  <c:v>-14</c:v>
                </c:pt>
                <c:pt idx="40">
                  <c:v>-15</c:v>
                </c:pt>
              </c:numCache>
            </c:numRef>
          </c:xVal>
          <c:yVal>
            <c:numRef>
              <c:f>'New tests August'!$AA$101:$AA$141</c:f>
              <c:numCache>
                <c:formatCode>0.000</c:formatCode>
                <c:ptCount val="41"/>
                <c:pt idx="0">
                  <c:v>6.8304714922682863E-2</c:v>
                </c:pt>
                <c:pt idx="1">
                  <c:v>6.8304714922682863E-2</c:v>
                </c:pt>
                <c:pt idx="2">
                  <c:v>6.8304714922682863E-2</c:v>
                </c:pt>
                <c:pt idx="3">
                  <c:v>6.8304714922682863E-2</c:v>
                </c:pt>
                <c:pt idx="4">
                  <c:v>6.8304714922682863E-2</c:v>
                </c:pt>
                <c:pt idx="5">
                  <c:v>6.8304714922682863E-2</c:v>
                </c:pt>
                <c:pt idx="6">
                  <c:v>6.8304714922682863E-2</c:v>
                </c:pt>
                <c:pt idx="7">
                  <c:v>6.8304714922682863E-2</c:v>
                </c:pt>
                <c:pt idx="8">
                  <c:v>6.8304714922682863E-2</c:v>
                </c:pt>
                <c:pt idx="9">
                  <c:v>6.8304714922682863E-2</c:v>
                </c:pt>
                <c:pt idx="10">
                  <c:v>6.8304714922682863E-2</c:v>
                </c:pt>
                <c:pt idx="11">
                  <c:v>6.8304714922682863E-2</c:v>
                </c:pt>
                <c:pt idx="12">
                  <c:v>6.8304714922682863E-2</c:v>
                </c:pt>
                <c:pt idx="13">
                  <c:v>6.8304714922682863E-2</c:v>
                </c:pt>
                <c:pt idx="15">
                  <c:v>6.8304714922682863E-2</c:v>
                </c:pt>
                <c:pt idx="17">
                  <c:v>6.8236952308672258E-2</c:v>
                </c:pt>
                <c:pt idx="19">
                  <c:v>6.972772981690542E-2</c:v>
                </c:pt>
                <c:pt idx="21">
                  <c:v>7.040535595701139E-2</c:v>
                </c:pt>
                <c:pt idx="23">
                  <c:v>6.9388916746852436E-2</c:v>
                </c:pt>
                <c:pt idx="25">
                  <c:v>6.8982341062788846E-2</c:v>
                </c:pt>
                <c:pt idx="27">
                  <c:v>6.5831379511296029E-2</c:v>
                </c:pt>
                <c:pt idx="29">
                  <c:v>5.9536232669711475E-2</c:v>
                </c:pt>
                <c:pt idx="31">
                  <c:v>5.01240055836394E-2</c:v>
                </c:pt>
                <c:pt idx="33">
                  <c:v>3.7784433572309491E-2</c:v>
                </c:pt>
                <c:pt idx="35">
                  <c:v>2.3079946332009708E-2</c:v>
                </c:pt>
                <c:pt idx="37">
                  <c:v>1.3267919823275104E-2</c:v>
                </c:pt>
                <c:pt idx="38">
                  <c:v>1.1512868120400614E-2</c:v>
                </c:pt>
                <c:pt idx="39">
                  <c:v>2.8663585726482984E-3</c:v>
                </c:pt>
                <c:pt idx="40">
                  <c:v>1.5368560857603644E-3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F-4696-8CA6-79B398401D7F}"/>
            </c:ext>
          </c:extLst>
        </c:ser>
        <c:ser>
          <c:idx val="1"/>
          <c:order val="1"/>
          <c:tx>
            <c:v>grouped by 5cm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August'!$W$101:$W$141</c:f>
              <c:numCache>
                <c:formatCode>General</c:formatCode>
                <c:ptCount val="41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-1</c:v>
                </c:pt>
                <c:pt idx="27">
                  <c:v>-2</c:v>
                </c:pt>
                <c:pt idx="28">
                  <c:v>-3</c:v>
                </c:pt>
                <c:pt idx="29">
                  <c:v>-4</c:v>
                </c:pt>
                <c:pt idx="30">
                  <c:v>-5</c:v>
                </c:pt>
                <c:pt idx="31">
                  <c:v>-6</c:v>
                </c:pt>
                <c:pt idx="32">
                  <c:v>-7</c:v>
                </c:pt>
                <c:pt idx="33">
                  <c:v>-8</c:v>
                </c:pt>
                <c:pt idx="34">
                  <c:v>-9</c:v>
                </c:pt>
                <c:pt idx="35">
                  <c:v>-10</c:v>
                </c:pt>
                <c:pt idx="36">
                  <c:v>-11</c:v>
                </c:pt>
                <c:pt idx="37">
                  <c:v>-12</c:v>
                </c:pt>
                <c:pt idx="38">
                  <c:v>-13</c:v>
                </c:pt>
                <c:pt idx="39">
                  <c:v>-14</c:v>
                </c:pt>
                <c:pt idx="40">
                  <c:v>-15</c:v>
                </c:pt>
              </c:numCache>
            </c:numRef>
          </c:xVal>
          <c:yVal>
            <c:numRef>
              <c:f>'New tests August'!$AB$101:$AB$141</c:f>
              <c:numCache>
                <c:formatCode>General</c:formatCode>
                <c:ptCount val="41"/>
                <c:pt idx="0" formatCode="0.0000">
                  <c:v>6.8304714922682863E-2</c:v>
                </c:pt>
                <c:pt idx="5" formatCode="0.0000">
                  <c:v>6.8304714922682863E-2</c:v>
                </c:pt>
                <c:pt idx="10" formatCode="0.0000">
                  <c:v>6.8304714922682863E-2</c:v>
                </c:pt>
                <c:pt idx="15" formatCode="0.0000">
                  <c:v>6.8282127384679328E-2</c:v>
                </c:pt>
                <c:pt idx="20" formatCode="0.0000">
                  <c:v>7.0066542886958405E-2</c:v>
                </c:pt>
                <c:pt idx="25" formatCode="0.0000">
                  <c:v>6.8067545773645766E-2</c:v>
                </c:pt>
                <c:pt idx="30" formatCode="0.0000">
                  <c:v>5.4830119126675438E-2</c:v>
                </c:pt>
                <c:pt idx="35" formatCode="0.0000">
                  <c:v>2.4710766575864768E-2</c:v>
                </c:pt>
                <c:pt idx="40" formatCode="0.0000">
                  <c:v>5.3053609262697582E-3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F-4696-8CA6-79B398401D7F}"/>
            </c:ext>
          </c:extLst>
        </c:ser>
        <c:ser>
          <c:idx val="2"/>
          <c:order val="2"/>
          <c:tx>
            <c:v>grouped by 3cm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August'!$W$101:$W$141</c:f>
              <c:numCache>
                <c:formatCode>General</c:formatCode>
                <c:ptCount val="41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-1</c:v>
                </c:pt>
                <c:pt idx="27">
                  <c:v>-2</c:v>
                </c:pt>
                <c:pt idx="28">
                  <c:v>-3</c:v>
                </c:pt>
                <c:pt idx="29">
                  <c:v>-4</c:v>
                </c:pt>
                <c:pt idx="30">
                  <c:v>-5</c:v>
                </c:pt>
                <c:pt idx="31">
                  <c:v>-6</c:v>
                </c:pt>
                <c:pt idx="32">
                  <c:v>-7</c:v>
                </c:pt>
                <c:pt idx="33">
                  <c:v>-8</c:v>
                </c:pt>
                <c:pt idx="34">
                  <c:v>-9</c:v>
                </c:pt>
                <c:pt idx="35">
                  <c:v>-10</c:v>
                </c:pt>
                <c:pt idx="36">
                  <c:v>-11</c:v>
                </c:pt>
                <c:pt idx="37">
                  <c:v>-12</c:v>
                </c:pt>
                <c:pt idx="38">
                  <c:v>-13</c:v>
                </c:pt>
                <c:pt idx="39">
                  <c:v>-14</c:v>
                </c:pt>
                <c:pt idx="40">
                  <c:v>-15</c:v>
                </c:pt>
              </c:numCache>
            </c:numRef>
          </c:xVal>
          <c:yVal>
            <c:numRef>
              <c:f>'New tests August'!$AC$101:$AC$141</c:f>
              <c:numCache>
                <c:formatCode>0.0000</c:formatCode>
                <c:ptCount val="41"/>
                <c:pt idx="1">
                  <c:v>6.8304714922682863E-2</c:v>
                </c:pt>
                <c:pt idx="4">
                  <c:v>6.8304714922682863E-2</c:v>
                </c:pt>
                <c:pt idx="7">
                  <c:v>6.8304714922682863E-2</c:v>
                </c:pt>
                <c:pt idx="10">
                  <c:v>6.8304714922682863E-2</c:v>
                </c:pt>
                <c:pt idx="13">
                  <c:v>6.8304714922682863E-2</c:v>
                </c:pt>
                <c:pt idx="16">
                  <c:v>6.8270833615677567E-2</c:v>
                </c:pt>
                <c:pt idx="19">
                  <c:v>6.972772981690542E-2</c:v>
                </c:pt>
                <c:pt idx="22">
                  <c:v>6.9897136351931913E-2</c:v>
                </c:pt>
                <c:pt idx="25">
                  <c:v>6.8982341062788846E-2</c:v>
                </c:pt>
                <c:pt idx="28">
                  <c:v>6.2683806090503752E-2</c:v>
                </c:pt>
                <c:pt idx="31">
                  <c:v>5.01240055836394E-2</c:v>
                </c:pt>
                <c:pt idx="34">
                  <c:v>3.04321899521596E-2</c:v>
                </c:pt>
                <c:pt idx="37">
                  <c:v>1.239039397183786E-2</c:v>
                </c:pt>
                <c:pt idx="40">
                  <c:v>2.2016073292043313E-3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F-4696-8CA6-79B39840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84840"/>
        <c:axId val="318008120"/>
      </c:scatterChart>
      <c:valAx>
        <c:axId val="42688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Off-axis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08120"/>
        <c:crosses val="autoZero"/>
        <c:crossBetween val="midCat"/>
      </c:valAx>
      <c:valAx>
        <c:axId val="31800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Dose Rate per frame mGy/frame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84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Total filtration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 tests August'!$AD$100</c:f>
              <c:strCache>
                <c:ptCount val="1"/>
                <c:pt idx="0">
                  <c:v>Total  Filt mmAl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August'!$W$111:$W$141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August'!$AD$111:$AD$141</c:f>
              <c:numCache>
                <c:formatCode>General</c:formatCode>
                <c:ptCount val="31"/>
                <c:pt idx="0">
                  <c:v>7.891</c:v>
                </c:pt>
                <c:pt idx="1">
                  <c:v>7.891</c:v>
                </c:pt>
                <c:pt idx="2">
                  <c:v>7.891</c:v>
                </c:pt>
                <c:pt idx="3">
                  <c:v>7.891</c:v>
                </c:pt>
                <c:pt idx="4">
                  <c:v>7.891</c:v>
                </c:pt>
                <c:pt idx="5">
                  <c:v>7.891</c:v>
                </c:pt>
                <c:pt idx="7">
                  <c:v>8.17</c:v>
                </c:pt>
                <c:pt idx="9">
                  <c:v>7.9050000000000002</c:v>
                </c:pt>
                <c:pt idx="11">
                  <c:v>8.1029999999999998</c:v>
                </c:pt>
                <c:pt idx="13">
                  <c:v>8.0440000000000005</c:v>
                </c:pt>
                <c:pt idx="15">
                  <c:v>8.06</c:v>
                </c:pt>
                <c:pt idx="17">
                  <c:v>8.1460000000000008</c:v>
                </c:pt>
                <c:pt idx="19">
                  <c:v>8.3529999999999998</c:v>
                </c:pt>
                <c:pt idx="21">
                  <c:v>8.8089999999999993</c:v>
                </c:pt>
                <c:pt idx="23">
                  <c:v>9.2040000000000006</c:v>
                </c:pt>
                <c:pt idx="25">
                  <c:v>9.9580000000000002</c:v>
                </c:pt>
                <c:pt idx="27">
                  <c:v>10.571</c:v>
                </c:pt>
                <c:pt idx="28">
                  <c:v>10.06</c:v>
                </c:pt>
                <c:pt idx="29">
                  <c:v>8.5890000000000004</c:v>
                </c:pt>
                <c:pt idx="30">
                  <c:v>8.0259999999999998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E-49C0-BFC6-9117FD934664}"/>
            </c:ext>
          </c:extLst>
        </c:ser>
        <c:ser>
          <c:idx val="1"/>
          <c:order val="1"/>
          <c:tx>
            <c:strRef>
              <c:f>'New tests August'!$AE$100</c:f>
              <c:strCache>
                <c:ptCount val="1"/>
                <c:pt idx="0">
                  <c:v>grouped by 5 total filt mmAl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August'!$W$111:$W$141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August'!$AE$111:$AE$141</c:f>
              <c:numCache>
                <c:formatCode>General</c:formatCode>
                <c:ptCount val="31"/>
                <c:pt idx="0">
                  <c:v>7.8910000000000009</c:v>
                </c:pt>
                <c:pt idx="5">
                  <c:v>7.9607500000000009</c:v>
                </c:pt>
                <c:pt idx="10">
                  <c:v>8.0039999999999996</c:v>
                </c:pt>
                <c:pt idx="15">
                  <c:v>8.0833333333333339</c:v>
                </c:pt>
                <c:pt idx="20">
                  <c:v>8.5809999999999995</c:v>
                </c:pt>
                <c:pt idx="25">
                  <c:v>9.9109999999999996</c:v>
                </c:pt>
                <c:pt idx="30">
                  <c:v>8.8916666666666675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2E-49C0-BFC6-9117FD934664}"/>
            </c:ext>
          </c:extLst>
        </c:ser>
        <c:ser>
          <c:idx val="2"/>
          <c:order val="2"/>
          <c:tx>
            <c:strRef>
              <c:f>'New tests August'!$AF$100</c:f>
              <c:strCache>
                <c:ptCount val="1"/>
                <c:pt idx="0">
                  <c:v>grouped by 3 total filt mmAl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August'!$W$111:$W$141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August'!$AF$111:$AF$141</c:f>
              <c:numCache>
                <c:formatCode>General</c:formatCode>
                <c:ptCount val="31"/>
                <c:pt idx="0">
                  <c:v>7.8910000000000009</c:v>
                </c:pt>
                <c:pt idx="3">
                  <c:v>7.8910000000000009</c:v>
                </c:pt>
                <c:pt idx="6">
                  <c:v>8.0305</c:v>
                </c:pt>
                <c:pt idx="9">
                  <c:v>7.9050000000000002</c:v>
                </c:pt>
                <c:pt idx="12">
                  <c:v>8.0734999999999992</c:v>
                </c:pt>
                <c:pt idx="15">
                  <c:v>8.06</c:v>
                </c:pt>
                <c:pt idx="18">
                  <c:v>8.2495000000000012</c:v>
                </c:pt>
                <c:pt idx="21">
                  <c:v>8.8089999999999993</c:v>
                </c:pt>
                <c:pt idx="24">
                  <c:v>9.5809999999999995</c:v>
                </c:pt>
                <c:pt idx="27">
                  <c:v>10.3155</c:v>
                </c:pt>
                <c:pt idx="30">
                  <c:v>9.3167142857142853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2E-49C0-BFC6-9117FD93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343416"/>
        <c:axId val="594343744"/>
      </c:scatterChart>
      <c:valAx>
        <c:axId val="59434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43744"/>
        <c:crosses val="autoZero"/>
        <c:crossBetween val="midCat"/>
      </c:valAx>
      <c:valAx>
        <c:axId val="594343744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43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Dose</a:t>
            </a:r>
            <a:r>
              <a:rPr lang="en-AU" baseline="0"/>
              <a:t> rate uGy/s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August'!$AJ$106:$AJ$131</c:f>
              <c:numCache>
                <c:formatCode>General</c:formatCode>
                <c:ptCount val="2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  <c:pt idx="21">
                  <c:v>-11</c:v>
                </c:pt>
                <c:pt idx="22">
                  <c:v>-12</c:v>
                </c:pt>
                <c:pt idx="23">
                  <c:v>-13</c:v>
                </c:pt>
                <c:pt idx="24">
                  <c:v>-14</c:v>
                </c:pt>
                <c:pt idx="25">
                  <c:v>-15</c:v>
                </c:pt>
              </c:numCache>
            </c:numRef>
          </c:xVal>
          <c:yVal>
            <c:numRef>
              <c:f>'New tests August'!$AK$106:$AK$131</c:f>
              <c:numCache>
                <c:formatCode>General</c:formatCode>
                <c:ptCount val="26"/>
                <c:pt idx="0">
                  <c:v>196.3</c:v>
                </c:pt>
                <c:pt idx="1">
                  <c:v>221.6</c:v>
                </c:pt>
                <c:pt idx="2">
                  <c:v>329.4</c:v>
                </c:pt>
                <c:pt idx="3">
                  <c:v>501.2</c:v>
                </c:pt>
                <c:pt idx="4">
                  <c:v>628.9</c:v>
                </c:pt>
                <c:pt idx="6">
                  <c:v>835.6</c:v>
                </c:pt>
                <c:pt idx="8">
                  <c:v>961.8</c:v>
                </c:pt>
                <c:pt idx="10">
                  <c:v>1002</c:v>
                </c:pt>
                <c:pt idx="12">
                  <c:v>935.1</c:v>
                </c:pt>
                <c:pt idx="14">
                  <c:v>771.7</c:v>
                </c:pt>
                <c:pt idx="16">
                  <c:v>543.1</c:v>
                </c:pt>
                <c:pt idx="17">
                  <c:v>389.9</c:v>
                </c:pt>
                <c:pt idx="18">
                  <c:v>235.2</c:v>
                </c:pt>
                <c:pt idx="19">
                  <c:v>197.3</c:v>
                </c:pt>
                <c:pt idx="20">
                  <c:v>183.6</c:v>
                </c:pt>
                <c:pt idx="21">
                  <c:v>172.8</c:v>
                </c:pt>
                <c:pt idx="22">
                  <c:v>163.1</c:v>
                </c:pt>
                <c:pt idx="23">
                  <c:v>154.69999999999999</c:v>
                </c:pt>
                <c:pt idx="24">
                  <c:v>89.36</c:v>
                </c:pt>
                <c:pt idx="25">
                  <c:v>18.62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3-44AE-88F3-C897CFB57F17}"/>
            </c:ext>
          </c:extLst>
        </c:ser>
        <c:ser>
          <c:idx val="1"/>
          <c:order val="1"/>
          <c:tx>
            <c:v>symmetric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August'!$AL$101:$AL$131</c:f>
              <c:numCache>
                <c:formatCode>General</c:formatCode>
                <c:ptCount val="31"/>
                <c:pt idx="0">
                  <c:v>18.62</c:v>
                </c:pt>
                <c:pt idx="1">
                  <c:v>89.36</c:v>
                </c:pt>
                <c:pt idx="2">
                  <c:v>154.69999999999999</c:v>
                </c:pt>
                <c:pt idx="3">
                  <c:v>163.1</c:v>
                </c:pt>
                <c:pt idx="4">
                  <c:v>172.8</c:v>
                </c:pt>
                <c:pt idx="5">
                  <c:v>196.3</c:v>
                </c:pt>
                <c:pt idx="6">
                  <c:v>221.6</c:v>
                </c:pt>
                <c:pt idx="7">
                  <c:v>329.4</c:v>
                </c:pt>
                <c:pt idx="8">
                  <c:v>501.2</c:v>
                </c:pt>
                <c:pt idx="9">
                  <c:v>628.9</c:v>
                </c:pt>
                <c:pt idx="11">
                  <c:v>835.6</c:v>
                </c:pt>
                <c:pt idx="13">
                  <c:v>961.8</c:v>
                </c:pt>
                <c:pt idx="15">
                  <c:v>1002</c:v>
                </c:pt>
                <c:pt idx="17">
                  <c:v>961.8</c:v>
                </c:pt>
                <c:pt idx="19">
                  <c:v>835.6</c:v>
                </c:pt>
                <c:pt idx="21">
                  <c:v>628.9</c:v>
                </c:pt>
                <c:pt idx="22">
                  <c:v>501.2</c:v>
                </c:pt>
                <c:pt idx="23">
                  <c:v>329.4</c:v>
                </c:pt>
                <c:pt idx="24">
                  <c:v>221.6</c:v>
                </c:pt>
                <c:pt idx="25">
                  <c:v>196.3</c:v>
                </c:pt>
                <c:pt idx="26">
                  <c:v>172.8</c:v>
                </c:pt>
                <c:pt idx="27">
                  <c:v>163.1</c:v>
                </c:pt>
                <c:pt idx="28">
                  <c:v>154.69999999999999</c:v>
                </c:pt>
                <c:pt idx="29">
                  <c:v>89.36</c:v>
                </c:pt>
                <c:pt idx="30">
                  <c:v>18.62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C3-44AE-88F3-C897CFB57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092368"/>
        <c:axId val="651093024"/>
      </c:scatterChart>
      <c:valAx>
        <c:axId val="65109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Distance off axis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93024"/>
        <c:crosses val="autoZero"/>
        <c:crossBetween val="midCat"/>
      </c:valAx>
      <c:valAx>
        <c:axId val="6510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000" b="0" i="0" baseline="0">
                    <a:effectLst/>
                  </a:rPr>
                  <a:t>Dose rate uGy/s</a:t>
                </a:r>
                <a:endParaRPr lang="en-AU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9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air kerma per projection vs position across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August'!$AO$101:$AO$131</c:f>
              <c:numCache>
                <c:formatCode>0.000</c:formatCode>
                <c:ptCount val="31"/>
                <c:pt idx="0">
                  <c:v>2.66E-3</c:v>
                </c:pt>
                <c:pt idx="1">
                  <c:v>1.2765714285714285E-2</c:v>
                </c:pt>
                <c:pt idx="2">
                  <c:v>2.2099999999999998E-2</c:v>
                </c:pt>
                <c:pt idx="3">
                  <c:v>2.3299999999999998E-2</c:v>
                </c:pt>
                <c:pt idx="4">
                  <c:v>2.4685714285714287E-2</c:v>
                </c:pt>
                <c:pt idx="5">
                  <c:v>2.8042857142857144E-2</c:v>
                </c:pt>
                <c:pt idx="6">
                  <c:v>3.1657142857142856E-2</c:v>
                </c:pt>
                <c:pt idx="7">
                  <c:v>4.7057142857142853E-2</c:v>
                </c:pt>
                <c:pt idx="8">
                  <c:v>7.1599999999999997E-2</c:v>
                </c:pt>
                <c:pt idx="9">
                  <c:v>8.9842857142857141E-2</c:v>
                </c:pt>
                <c:pt idx="11">
                  <c:v>0.11937142857142857</c:v>
                </c:pt>
                <c:pt idx="13">
                  <c:v>0.13739999999999997</c:v>
                </c:pt>
                <c:pt idx="15">
                  <c:v>0.14314285714285713</c:v>
                </c:pt>
                <c:pt idx="17">
                  <c:v>0.13739999999999997</c:v>
                </c:pt>
                <c:pt idx="19">
                  <c:v>0.11937142857142857</c:v>
                </c:pt>
                <c:pt idx="21">
                  <c:v>8.9842857142857141E-2</c:v>
                </c:pt>
                <c:pt idx="22">
                  <c:v>7.1599999999999997E-2</c:v>
                </c:pt>
                <c:pt idx="23">
                  <c:v>4.7057142857142853E-2</c:v>
                </c:pt>
                <c:pt idx="24">
                  <c:v>3.1657142857142856E-2</c:v>
                </c:pt>
                <c:pt idx="25">
                  <c:v>2.8042857142857144E-2</c:v>
                </c:pt>
                <c:pt idx="26">
                  <c:v>2.4685714285714287E-2</c:v>
                </c:pt>
                <c:pt idx="27">
                  <c:v>2.3299999999999998E-2</c:v>
                </c:pt>
                <c:pt idx="28">
                  <c:v>2.2099999999999998E-2</c:v>
                </c:pt>
                <c:pt idx="29">
                  <c:v>1.2765714285714285E-2</c:v>
                </c:pt>
                <c:pt idx="30">
                  <c:v>2.66E-3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8-4523-97CA-F4CF634EEEFA}"/>
            </c:ext>
          </c:extLst>
        </c:ser>
        <c:ser>
          <c:idx val="1"/>
          <c:order val="1"/>
          <c:tx>
            <c:v>grouped by 5cm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August'!$AP$101:$AP$131</c:f>
              <c:numCache>
                <c:formatCode>0.0000</c:formatCode>
                <c:ptCount val="31"/>
                <c:pt idx="0">
                  <c:v>1.250857142857143E-2</c:v>
                </c:pt>
                <c:pt idx="5">
                  <c:v>3.0948571428571426E-2</c:v>
                </c:pt>
                <c:pt idx="10">
                  <c:v>9.3604761904761899E-2</c:v>
                </c:pt>
                <c:pt idx="15">
                  <c:v>0.1393142857142857</c:v>
                </c:pt>
                <c:pt idx="20">
                  <c:v>9.3604761904761899E-2</c:v>
                </c:pt>
                <c:pt idx="25">
                  <c:v>3.0948571428571426E-2</c:v>
                </c:pt>
                <c:pt idx="30">
                  <c:v>1.250857142857143E-2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8-4523-97CA-F4CF634EEEFA}"/>
            </c:ext>
          </c:extLst>
        </c:ser>
        <c:ser>
          <c:idx val="2"/>
          <c:order val="2"/>
          <c:tx>
            <c:v>grouped by 3cm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August'!$AQ$101:$AQ$131</c:f>
              <c:numCache>
                <c:formatCode>0.0000</c:formatCode>
                <c:ptCount val="31"/>
                <c:pt idx="0">
                  <c:v>7.7128571428571428E-3</c:v>
                </c:pt>
                <c:pt idx="3">
                  <c:v>2.3361904761904761E-2</c:v>
                </c:pt>
                <c:pt idx="6">
                  <c:v>3.5585714285714283E-2</c:v>
                </c:pt>
                <c:pt idx="9">
                  <c:v>8.0721428571428569E-2</c:v>
                </c:pt>
                <c:pt idx="12">
                  <c:v>0.12838571428571427</c:v>
                </c:pt>
                <c:pt idx="15">
                  <c:v>0.14314285714285713</c:v>
                </c:pt>
                <c:pt idx="18">
                  <c:v>0.12838571428571427</c:v>
                </c:pt>
                <c:pt idx="21">
                  <c:v>8.0721428571428569E-2</c:v>
                </c:pt>
                <c:pt idx="24">
                  <c:v>3.5585714285714283E-2</c:v>
                </c:pt>
                <c:pt idx="27">
                  <c:v>2.3361904761904761E-2</c:v>
                </c:pt>
                <c:pt idx="30">
                  <c:v>7.7128571428571428E-3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8-4523-97CA-F4CF634EE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84840"/>
        <c:axId val="318008120"/>
      </c:scatterChart>
      <c:valAx>
        <c:axId val="42688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Off-axis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08120"/>
        <c:crosses val="autoZero"/>
        <c:crossBetween val="midCat"/>
      </c:valAx>
      <c:valAx>
        <c:axId val="31800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Dose Rate per frame mGy/frame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84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Total filtration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 tests August'!$AD$100</c:f>
              <c:strCache>
                <c:ptCount val="1"/>
                <c:pt idx="0">
                  <c:v>Total  Filt mmAl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August'!$AS$101:$AS$131</c:f>
              <c:numCache>
                <c:formatCode>General</c:formatCode>
                <c:ptCount val="31"/>
                <c:pt idx="0">
                  <c:v>8.7029999999999994</c:v>
                </c:pt>
                <c:pt idx="1">
                  <c:v>10.807</c:v>
                </c:pt>
                <c:pt idx="2">
                  <c:v>10.95</c:v>
                </c:pt>
                <c:pt idx="3">
                  <c:v>11.227</c:v>
                </c:pt>
                <c:pt idx="4">
                  <c:v>10.629</c:v>
                </c:pt>
                <c:pt idx="5">
                  <c:v>11.16</c:v>
                </c:pt>
                <c:pt idx="6">
                  <c:v>10.867000000000001</c:v>
                </c:pt>
                <c:pt idx="7">
                  <c:v>10.756</c:v>
                </c:pt>
                <c:pt idx="8">
                  <c:v>10.093999999999999</c:v>
                </c:pt>
                <c:pt idx="9">
                  <c:v>9.6069999999999993</c:v>
                </c:pt>
                <c:pt idx="11">
                  <c:v>8.6389999999999993</c:v>
                </c:pt>
                <c:pt idx="13">
                  <c:v>8.34</c:v>
                </c:pt>
                <c:pt idx="15">
                  <c:v>8.0449999999999999</c:v>
                </c:pt>
                <c:pt idx="17">
                  <c:v>8.34</c:v>
                </c:pt>
                <c:pt idx="19">
                  <c:v>8.6389999999999993</c:v>
                </c:pt>
                <c:pt idx="21">
                  <c:v>9.6069999999999993</c:v>
                </c:pt>
                <c:pt idx="22">
                  <c:v>10.093999999999999</c:v>
                </c:pt>
                <c:pt idx="23">
                  <c:v>10.756</c:v>
                </c:pt>
                <c:pt idx="24">
                  <c:v>10.867000000000001</c:v>
                </c:pt>
                <c:pt idx="25">
                  <c:v>11.16</c:v>
                </c:pt>
                <c:pt idx="26">
                  <c:v>10.629</c:v>
                </c:pt>
                <c:pt idx="27">
                  <c:v>11.227</c:v>
                </c:pt>
                <c:pt idx="28">
                  <c:v>10.95</c:v>
                </c:pt>
                <c:pt idx="29">
                  <c:v>10.807</c:v>
                </c:pt>
                <c:pt idx="30">
                  <c:v>8.7029999999999994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8-41F9-9E9C-C4430A3EC664}"/>
            </c:ext>
          </c:extLst>
        </c:ser>
        <c:ser>
          <c:idx val="1"/>
          <c:order val="1"/>
          <c:tx>
            <c:strRef>
              <c:f>'New tests August'!$AE$100</c:f>
              <c:strCache>
                <c:ptCount val="1"/>
                <c:pt idx="0">
                  <c:v>grouped by 5 total filt mmAl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August'!$AT$101:$AT$131</c:f>
              <c:numCache>
                <c:formatCode>General</c:formatCode>
                <c:ptCount val="31"/>
                <c:pt idx="0">
                  <c:v>10.153333333333332</c:v>
                </c:pt>
                <c:pt idx="5">
                  <c:v>10.927800000000001</c:v>
                </c:pt>
                <c:pt idx="10">
                  <c:v>9.4466666666666672</c:v>
                </c:pt>
                <c:pt idx="15">
                  <c:v>8.2416666666666654</c:v>
                </c:pt>
                <c:pt idx="20">
                  <c:v>9.4466666666666654</c:v>
                </c:pt>
                <c:pt idx="25">
                  <c:v>10.9278</c:v>
                </c:pt>
                <c:pt idx="30">
                  <c:v>10.153333333333332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38-41F9-9E9C-C4430A3EC664}"/>
            </c:ext>
          </c:extLst>
        </c:ser>
        <c:ser>
          <c:idx val="2"/>
          <c:order val="2"/>
          <c:tx>
            <c:strRef>
              <c:f>'New tests August'!$AF$100</c:f>
              <c:strCache>
                <c:ptCount val="1"/>
                <c:pt idx="0">
                  <c:v>grouped by 3 total filt mmAl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 tests August'!$AJ$101:$AJ$131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-9</c:v>
                </c:pt>
                <c:pt idx="25">
                  <c:v>-10</c:v>
                </c:pt>
                <c:pt idx="26">
                  <c:v>-11</c:v>
                </c:pt>
                <c:pt idx="27">
                  <c:v>-12</c:v>
                </c:pt>
                <c:pt idx="28">
                  <c:v>-13</c:v>
                </c:pt>
                <c:pt idx="29">
                  <c:v>-14</c:v>
                </c:pt>
                <c:pt idx="30">
                  <c:v>-15</c:v>
                </c:pt>
              </c:numCache>
            </c:numRef>
          </c:xVal>
          <c:yVal>
            <c:numRef>
              <c:f>'New tests August'!$AU$101:$AU$131</c:f>
              <c:numCache>
                <c:formatCode>General</c:formatCode>
                <c:ptCount val="31"/>
                <c:pt idx="0">
                  <c:v>9.754999999999999</c:v>
                </c:pt>
                <c:pt idx="3">
                  <c:v>10.935333333333332</c:v>
                </c:pt>
                <c:pt idx="6">
                  <c:v>10.927666666666667</c:v>
                </c:pt>
                <c:pt idx="9">
                  <c:v>9.8505000000000003</c:v>
                </c:pt>
                <c:pt idx="12">
                  <c:v>8.4894999999999996</c:v>
                </c:pt>
                <c:pt idx="15">
                  <c:v>8.0449999999999999</c:v>
                </c:pt>
                <c:pt idx="18">
                  <c:v>8.4894999999999996</c:v>
                </c:pt>
                <c:pt idx="21">
                  <c:v>9.8505000000000003</c:v>
                </c:pt>
                <c:pt idx="24">
                  <c:v>10.927666666666667</c:v>
                </c:pt>
                <c:pt idx="27">
                  <c:v>10.935333333333332</c:v>
                </c:pt>
                <c:pt idx="30">
                  <c:v>9.754999999999999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38-41F9-9E9C-C4430A3EC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343416"/>
        <c:axId val="594343744"/>
      </c:scatterChart>
      <c:valAx>
        <c:axId val="59434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43744"/>
        <c:crosses val="autoZero"/>
        <c:crossBetween val="midCat"/>
      </c:valAx>
      <c:valAx>
        <c:axId val="594343744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43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mGy/frame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August'!$CC$101:$CC$141</c:f>
              <c:numCache>
                <c:formatCode>General</c:formatCode>
                <c:ptCount val="41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-1</c:v>
                </c:pt>
                <c:pt idx="27">
                  <c:v>-2</c:v>
                </c:pt>
                <c:pt idx="28">
                  <c:v>-3</c:v>
                </c:pt>
                <c:pt idx="29">
                  <c:v>-4</c:v>
                </c:pt>
                <c:pt idx="30">
                  <c:v>-5</c:v>
                </c:pt>
                <c:pt idx="31">
                  <c:v>-6</c:v>
                </c:pt>
                <c:pt idx="32">
                  <c:v>-7</c:v>
                </c:pt>
                <c:pt idx="33">
                  <c:v>-8</c:v>
                </c:pt>
                <c:pt idx="34">
                  <c:v>-9</c:v>
                </c:pt>
                <c:pt idx="35">
                  <c:v>-10</c:v>
                </c:pt>
                <c:pt idx="36">
                  <c:v>-11</c:v>
                </c:pt>
                <c:pt idx="37">
                  <c:v>-12</c:v>
                </c:pt>
                <c:pt idx="38">
                  <c:v>-13</c:v>
                </c:pt>
                <c:pt idx="39">
                  <c:v>-14</c:v>
                </c:pt>
                <c:pt idx="40">
                  <c:v>-15</c:v>
                </c:pt>
              </c:numCache>
            </c:numRef>
          </c:xVal>
          <c:yVal>
            <c:numRef>
              <c:f>'New tests August'!$CI$101:$CI$141</c:f>
              <c:numCache>
                <c:formatCode>General</c:formatCode>
                <c:ptCount val="41"/>
                <c:pt idx="0" formatCode="0.0000">
                  <c:v>1.7066464397458993E-2</c:v>
                </c:pt>
                <c:pt idx="5" formatCode="0.0000">
                  <c:v>1.7066464397458993E-2</c:v>
                </c:pt>
                <c:pt idx="10" formatCode="0.0000">
                  <c:v>1.7066464397458993E-2</c:v>
                </c:pt>
                <c:pt idx="15" formatCode="0.0000">
                  <c:v>1.7060820725369883E-2</c:v>
                </c:pt>
                <c:pt idx="20" formatCode="0.0000">
                  <c:v>1.7506670820409326E-2</c:v>
                </c:pt>
                <c:pt idx="25" formatCode="0.0000">
                  <c:v>1.7007205840523371E-2</c:v>
                </c:pt>
                <c:pt idx="30" formatCode="0.0000">
                  <c:v>1.3699731812702327E-2</c:v>
                </c:pt>
                <c:pt idx="35" formatCode="0.0000">
                  <c:v>6.1741772654828513E-3</c:v>
                </c:pt>
                <c:pt idx="40" formatCode="0.0000">
                  <c:v>1.3255857002894076E-3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A-46AA-8943-E77F7132E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801136"/>
        <c:axId val="461799496"/>
      </c:scatterChart>
      <c:valAx>
        <c:axId val="46180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Off-centre (minus is used as imager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99496"/>
        <c:crosses val="autoZero"/>
        <c:crossBetween val="midCat"/>
      </c:valAx>
      <c:valAx>
        <c:axId val="46179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mGy/frame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0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August'!$U$13:$U$75</c:f>
              <c:numCache>
                <c:formatCode>General</c:formatCode>
                <c:ptCount val="63"/>
                <c:pt idx="0">
                  <c:v>15</c:v>
                </c:pt>
                <c:pt idx="1">
                  <c:v>14.5</c:v>
                </c:pt>
                <c:pt idx="2">
                  <c:v>14</c:v>
                </c:pt>
                <c:pt idx="3">
                  <c:v>13.5</c:v>
                </c:pt>
                <c:pt idx="4">
                  <c:v>13</c:v>
                </c:pt>
                <c:pt idx="5">
                  <c:v>12.5</c:v>
                </c:pt>
                <c:pt idx="6">
                  <c:v>12</c:v>
                </c:pt>
                <c:pt idx="7">
                  <c:v>11.5</c:v>
                </c:pt>
                <c:pt idx="8">
                  <c:v>11</c:v>
                </c:pt>
                <c:pt idx="9">
                  <c:v>10.5</c:v>
                </c:pt>
                <c:pt idx="10">
                  <c:v>10</c:v>
                </c:pt>
                <c:pt idx="11">
                  <c:v>9.5</c:v>
                </c:pt>
                <c:pt idx="12">
                  <c:v>9</c:v>
                </c:pt>
                <c:pt idx="14">
                  <c:v>8.5</c:v>
                </c:pt>
                <c:pt idx="16">
                  <c:v>8</c:v>
                </c:pt>
                <c:pt idx="17">
                  <c:v>7.5</c:v>
                </c:pt>
                <c:pt idx="18">
                  <c:v>7</c:v>
                </c:pt>
                <c:pt idx="19">
                  <c:v>6.5</c:v>
                </c:pt>
                <c:pt idx="20">
                  <c:v>6</c:v>
                </c:pt>
                <c:pt idx="21">
                  <c:v>5.5</c:v>
                </c:pt>
                <c:pt idx="22">
                  <c:v>5</c:v>
                </c:pt>
                <c:pt idx="23">
                  <c:v>4.5</c:v>
                </c:pt>
                <c:pt idx="24">
                  <c:v>4</c:v>
                </c:pt>
                <c:pt idx="25">
                  <c:v>3.5</c:v>
                </c:pt>
                <c:pt idx="26">
                  <c:v>3</c:v>
                </c:pt>
                <c:pt idx="27">
                  <c:v>2.5</c:v>
                </c:pt>
                <c:pt idx="28">
                  <c:v>2</c:v>
                </c:pt>
                <c:pt idx="29">
                  <c:v>1.5</c:v>
                </c:pt>
                <c:pt idx="30">
                  <c:v>1</c:v>
                </c:pt>
                <c:pt idx="31">
                  <c:v>0.5</c:v>
                </c:pt>
                <c:pt idx="32">
                  <c:v>0</c:v>
                </c:pt>
                <c:pt idx="33">
                  <c:v>-0.5</c:v>
                </c:pt>
                <c:pt idx="34">
                  <c:v>-1</c:v>
                </c:pt>
                <c:pt idx="35">
                  <c:v>-1.5</c:v>
                </c:pt>
                <c:pt idx="36">
                  <c:v>-2</c:v>
                </c:pt>
                <c:pt idx="37">
                  <c:v>-2.5</c:v>
                </c:pt>
                <c:pt idx="38">
                  <c:v>-3</c:v>
                </c:pt>
                <c:pt idx="39">
                  <c:v>-3.5</c:v>
                </c:pt>
                <c:pt idx="40">
                  <c:v>-4</c:v>
                </c:pt>
                <c:pt idx="41">
                  <c:v>-4.5</c:v>
                </c:pt>
                <c:pt idx="42">
                  <c:v>-5</c:v>
                </c:pt>
                <c:pt idx="43">
                  <c:v>-5.5</c:v>
                </c:pt>
                <c:pt idx="44">
                  <c:v>-6</c:v>
                </c:pt>
                <c:pt idx="45">
                  <c:v>-6.5</c:v>
                </c:pt>
                <c:pt idx="46">
                  <c:v>-7</c:v>
                </c:pt>
                <c:pt idx="47">
                  <c:v>-7.5</c:v>
                </c:pt>
                <c:pt idx="48">
                  <c:v>-8</c:v>
                </c:pt>
                <c:pt idx="49">
                  <c:v>-8.5</c:v>
                </c:pt>
                <c:pt idx="50">
                  <c:v>-9</c:v>
                </c:pt>
                <c:pt idx="51">
                  <c:v>-9.5</c:v>
                </c:pt>
                <c:pt idx="52">
                  <c:v>-10</c:v>
                </c:pt>
                <c:pt idx="53">
                  <c:v>-10.5</c:v>
                </c:pt>
                <c:pt idx="54">
                  <c:v>-11</c:v>
                </c:pt>
                <c:pt idx="55">
                  <c:v>-11.5</c:v>
                </c:pt>
                <c:pt idx="56">
                  <c:v>-12</c:v>
                </c:pt>
                <c:pt idx="57">
                  <c:v>-12.5</c:v>
                </c:pt>
                <c:pt idx="58">
                  <c:v>-13</c:v>
                </c:pt>
                <c:pt idx="59">
                  <c:v>-13.5</c:v>
                </c:pt>
                <c:pt idx="60">
                  <c:v>-14</c:v>
                </c:pt>
                <c:pt idx="61">
                  <c:v>-14.5</c:v>
                </c:pt>
                <c:pt idx="62">
                  <c:v>-15</c:v>
                </c:pt>
              </c:numCache>
            </c:numRef>
          </c:xVal>
          <c:yVal>
            <c:numRef>
              <c:f>'New tests August'!$W$13:$W$75</c:f>
              <c:numCache>
                <c:formatCode>General</c:formatCode>
                <c:ptCount val="63"/>
                <c:pt idx="9">
                  <c:v>10.78</c:v>
                </c:pt>
                <c:pt idx="10">
                  <c:v>10.67</c:v>
                </c:pt>
                <c:pt idx="12">
                  <c:v>10.680999999999999</c:v>
                </c:pt>
                <c:pt idx="16">
                  <c:v>10.101000000000001</c:v>
                </c:pt>
                <c:pt idx="18">
                  <c:v>9.641</c:v>
                </c:pt>
                <c:pt idx="20">
                  <c:v>9.1460000000000008</c:v>
                </c:pt>
                <c:pt idx="24">
                  <c:v>8.4339999999999993</c:v>
                </c:pt>
                <c:pt idx="28">
                  <c:v>8.0489999999999995</c:v>
                </c:pt>
                <c:pt idx="32">
                  <c:v>8.0449999999999999</c:v>
                </c:pt>
                <c:pt idx="36">
                  <c:v>8.34</c:v>
                </c:pt>
                <c:pt idx="40">
                  <c:v>8.6389999999999993</c:v>
                </c:pt>
                <c:pt idx="44">
                  <c:v>9.6069999999999993</c:v>
                </c:pt>
                <c:pt idx="46">
                  <c:v>10.093999999999999</c:v>
                </c:pt>
                <c:pt idx="48">
                  <c:v>10.756</c:v>
                </c:pt>
                <c:pt idx="50">
                  <c:v>10.867000000000001</c:v>
                </c:pt>
                <c:pt idx="52">
                  <c:v>11.16</c:v>
                </c:pt>
                <c:pt idx="54">
                  <c:v>10.629</c:v>
                </c:pt>
                <c:pt idx="56">
                  <c:v>11.227</c:v>
                </c:pt>
                <c:pt idx="58">
                  <c:v>10.95</c:v>
                </c:pt>
                <c:pt idx="60">
                  <c:v>10.807</c:v>
                </c:pt>
                <c:pt idx="62">
                  <c:v>8.7029999999999994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0-4E69-A736-83B0E4AA1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636840"/>
        <c:axId val="827639720"/>
      </c:scatterChart>
      <c:valAx>
        <c:axId val="82763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39720"/>
        <c:crosses val="autoZero"/>
        <c:crossBetween val="midCat"/>
      </c:valAx>
      <c:valAx>
        <c:axId val="82763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36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August'!$P$13:$P$75</c:f>
              <c:numCache>
                <c:formatCode>General</c:formatCode>
                <c:ptCount val="63"/>
                <c:pt idx="0">
                  <c:v>15</c:v>
                </c:pt>
                <c:pt idx="1">
                  <c:v>14.5</c:v>
                </c:pt>
                <c:pt idx="2">
                  <c:v>14</c:v>
                </c:pt>
                <c:pt idx="3">
                  <c:v>13.5</c:v>
                </c:pt>
                <c:pt idx="4">
                  <c:v>13</c:v>
                </c:pt>
                <c:pt idx="5">
                  <c:v>12.5</c:v>
                </c:pt>
                <c:pt idx="6">
                  <c:v>12</c:v>
                </c:pt>
                <c:pt idx="7">
                  <c:v>11.5</c:v>
                </c:pt>
                <c:pt idx="8">
                  <c:v>11</c:v>
                </c:pt>
                <c:pt idx="9">
                  <c:v>10.5</c:v>
                </c:pt>
                <c:pt idx="10">
                  <c:v>10</c:v>
                </c:pt>
                <c:pt idx="11">
                  <c:v>9.5</c:v>
                </c:pt>
                <c:pt idx="12">
                  <c:v>9</c:v>
                </c:pt>
                <c:pt idx="14">
                  <c:v>8.5</c:v>
                </c:pt>
                <c:pt idx="16">
                  <c:v>8</c:v>
                </c:pt>
                <c:pt idx="17">
                  <c:v>7.5</c:v>
                </c:pt>
                <c:pt idx="18">
                  <c:v>7</c:v>
                </c:pt>
                <c:pt idx="19">
                  <c:v>6.5</c:v>
                </c:pt>
                <c:pt idx="20">
                  <c:v>6</c:v>
                </c:pt>
                <c:pt idx="21">
                  <c:v>5.5</c:v>
                </c:pt>
                <c:pt idx="22">
                  <c:v>5</c:v>
                </c:pt>
                <c:pt idx="23">
                  <c:v>4.5</c:v>
                </c:pt>
                <c:pt idx="24">
                  <c:v>4</c:v>
                </c:pt>
                <c:pt idx="25">
                  <c:v>3.5</c:v>
                </c:pt>
                <c:pt idx="26">
                  <c:v>3</c:v>
                </c:pt>
                <c:pt idx="27">
                  <c:v>2.5</c:v>
                </c:pt>
                <c:pt idx="28">
                  <c:v>2</c:v>
                </c:pt>
                <c:pt idx="29">
                  <c:v>1.5</c:v>
                </c:pt>
                <c:pt idx="30">
                  <c:v>1</c:v>
                </c:pt>
                <c:pt idx="31">
                  <c:v>0.5</c:v>
                </c:pt>
                <c:pt idx="32">
                  <c:v>0</c:v>
                </c:pt>
                <c:pt idx="33">
                  <c:v>-0.5</c:v>
                </c:pt>
                <c:pt idx="34">
                  <c:v>-1</c:v>
                </c:pt>
                <c:pt idx="35">
                  <c:v>-1.5</c:v>
                </c:pt>
                <c:pt idx="36">
                  <c:v>-2</c:v>
                </c:pt>
                <c:pt idx="37">
                  <c:v>-2.5</c:v>
                </c:pt>
                <c:pt idx="38">
                  <c:v>-3</c:v>
                </c:pt>
                <c:pt idx="39">
                  <c:v>-3.5</c:v>
                </c:pt>
                <c:pt idx="40">
                  <c:v>-4</c:v>
                </c:pt>
                <c:pt idx="41">
                  <c:v>-4.5</c:v>
                </c:pt>
                <c:pt idx="42">
                  <c:v>-5</c:v>
                </c:pt>
                <c:pt idx="43">
                  <c:v>-5.5</c:v>
                </c:pt>
                <c:pt idx="44">
                  <c:v>-6</c:v>
                </c:pt>
                <c:pt idx="45">
                  <c:v>-6.5</c:v>
                </c:pt>
                <c:pt idx="46">
                  <c:v>-7</c:v>
                </c:pt>
                <c:pt idx="47">
                  <c:v>-7.5</c:v>
                </c:pt>
                <c:pt idx="48">
                  <c:v>-8</c:v>
                </c:pt>
                <c:pt idx="49">
                  <c:v>-8.5</c:v>
                </c:pt>
                <c:pt idx="50">
                  <c:v>-9</c:v>
                </c:pt>
                <c:pt idx="51">
                  <c:v>-9.5</c:v>
                </c:pt>
                <c:pt idx="52">
                  <c:v>-10</c:v>
                </c:pt>
                <c:pt idx="53">
                  <c:v>-10.5</c:v>
                </c:pt>
                <c:pt idx="54">
                  <c:v>-11</c:v>
                </c:pt>
                <c:pt idx="55">
                  <c:v>-11.5</c:v>
                </c:pt>
                <c:pt idx="56">
                  <c:v>-12</c:v>
                </c:pt>
                <c:pt idx="57">
                  <c:v>-12.5</c:v>
                </c:pt>
                <c:pt idx="58">
                  <c:v>-13</c:v>
                </c:pt>
                <c:pt idx="59">
                  <c:v>-13.5</c:v>
                </c:pt>
                <c:pt idx="60">
                  <c:v>-14</c:v>
                </c:pt>
                <c:pt idx="61">
                  <c:v>-14.5</c:v>
                </c:pt>
                <c:pt idx="62">
                  <c:v>-15</c:v>
                </c:pt>
              </c:numCache>
            </c:numRef>
          </c:xVal>
          <c:yVal>
            <c:numRef>
              <c:f>'New tests August'!$R$13:$R$75</c:f>
              <c:numCache>
                <c:formatCode>General</c:formatCode>
                <c:ptCount val="63"/>
                <c:pt idx="10">
                  <c:v>7.891</c:v>
                </c:pt>
                <c:pt idx="16">
                  <c:v>8.17</c:v>
                </c:pt>
                <c:pt idx="20">
                  <c:v>7.9050000000000002</c:v>
                </c:pt>
                <c:pt idx="24">
                  <c:v>8.1029999999999998</c:v>
                </c:pt>
                <c:pt idx="28">
                  <c:v>8.0440000000000005</c:v>
                </c:pt>
                <c:pt idx="32">
                  <c:v>8.06</c:v>
                </c:pt>
                <c:pt idx="36">
                  <c:v>8.1460000000000008</c:v>
                </c:pt>
                <c:pt idx="40">
                  <c:v>8.3529999999999998</c:v>
                </c:pt>
                <c:pt idx="44">
                  <c:v>8.8089999999999993</c:v>
                </c:pt>
                <c:pt idx="48">
                  <c:v>9.2040000000000006</c:v>
                </c:pt>
                <c:pt idx="52">
                  <c:v>9.9580000000000002</c:v>
                </c:pt>
                <c:pt idx="56">
                  <c:v>10.571</c:v>
                </c:pt>
                <c:pt idx="58">
                  <c:v>10.06</c:v>
                </c:pt>
                <c:pt idx="60">
                  <c:v>8.5890000000000004</c:v>
                </c:pt>
                <c:pt idx="62">
                  <c:v>8.0259999999999998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7-42E4-BF6F-BF89A31E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820800"/>
        <c:axId val="908821160"/>
      </c:scatterChart>
      <c:valAx>
        <c:axId val="90882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21160"/>
        <c:crosses val="autoZero"/>
        <c:crossBetween val="midCat"/>
      </c:valAx>
      <c:valAx>
        <c:axId val="90882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2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image" Target="../media/image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5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198120</xdr:colOff>
      <xdr:row>36</xdr:row>
      <xdr:rowOff>3810</xdr:rowOff>
    </xdr:from>
    <xdr:to>
      <xdr:col>20</xdr:col>
      <xdr:colOff>312420</xdr:colOff>
      <xdr:row>51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BC28F-3C7B-4956-ACA1-9ACFF0B27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345942</xdr:colOff>
      <xdr:row>0</xdr:row>
      <xdr:rowOff>0</xdr:rowOff>
    </xdr:from>
    <xdr:to>
      <xdr:col>12</xdr:col>
      <xdr:colOff>217714</xdr:colOff>
      <xdr:row>10</xdr:row>
      <xdr:rowOff>12806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204107</xdr:colOff>
      <xdr:row>22</xdr:row>
      <xdr:rowOff>50573</xdr:rowOff>
    </xdr:from>
    <xdr:to>
      <xdr:col>34</xdr:col>
      <xdr:colOff>517072</xdr:colOff>
      <xdr:row>44</xdr:row>
      <xdr:rowOff>13608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61233</xdr:colOff>
      <xdr:row>78</xdr:row>
      <xdr:rowOff>81643</xdr:rowOff>
    </xdr:from>
    <xdr:to>
      <xdr:col>23</xdr:col>
      <xdr:colOff>719925</xdr:colOff>
      <xdr:row>95</xdr:row>
      <xdr:rowOff>99107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61230</xdr:colOff>
      <xdr:row>128</xdr:row>
      <xdr:rowOff>84365</xdr:rowOff>
    </xdr:from>
    <xdr:to>
      <xdr:col>7</xdr:col>
      <xdr:colOff>843643</xdr:colOff>
      <xdr:row>158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8772B4-8245-4A20-BD62-61F06A7A2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272143</xdr:colOff>
      <xdr:row>130</xdr:row>
      <xdr:rowOff>68037</xdr:rowOff>
    </xdr:from>
    <xdr:to>
      <xdr:col>10</xdr:col>
      <xdr:colOff>20413</xdr:colOff>
      <xdr:row>159</xdr:row>
      <xdr:rowOff>174173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F20E85-80C0-43FB-A352-5BBF1A162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136072</xdr:colOff>
      <xdr:row>130</xdr:row>
      <xdr:rowOff>149679</xdr:rowOff>
    </xdr:from>
    <xdr:to>
      <xdr:col>18</xdr:col>
      <xdr:colOff>115664</xdr:colOff>
      <xdr:row>160</xdr:row>
      <xdr:rowOff>65315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64E307-D866-49B8-86F3-4F4F358CF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231322</xdr:colOff>
      <xdr:row>151</xdr:row>
      <xdr:rowOff>40822</xdr:rowOff>
    </xdr:from>
    <xdr:to>
      <xdr:col>26</xdr:col>
      <xdr:colOff>619128</xdr:colOff>
      <xdr:row>180</xdr:row>
      <xdr:rowOff>146958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71A2DC-70B0-4CBD-B065-F953CDE3B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306160</xdr:colOff>
      <xdr:row>158</xdr:row>
      <xdr:rowOff>84363</xdr:rowOff>
    </xdr:from>
    <xdr:to>
      <xdr:col>33</xdr:col>
      <xdr:colOff>639536</xdr:colOff>
      <xdr:row>186</xdr:row>
      <xdr:rowOff>54426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A96C78-9C2D-4E3E-85D1-7018DF887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176893</xdr:colOff>
      <xdr:row>136</xdr:row>
      <xdr:rowOff>16329</xdr:rowOff>
    </xdr:from>
    <xdr:to>
      <xdr:col>42</xdr:col>
      <xdr:colOff>381000</xdr:colOff>
      <xdr:row>163</xdr:row>
      <xdr:rowOff>149679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3F9D41-7E76-461A-8632-FC28580F7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870857</xdr:colOff>
      <xdr:row>137</xdr:row>
      <xdr:rowOff>27213</xdr:rowOff>
    </xdr:from>
    <xdr:to>
      <xdr:col>49</xdr:col>
      <xdr:colOff>428628</xdr:colOff>
      <xdr:row>166</xdr:row>
      <xdr:rowOff>133349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E9145B-B393-4B9A-9360-E39F1AFD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45</xdr:col>
      <xdr:colOff>503464</xdr:colOff>
      <xdr:row>138</xdr:row>
      <xdr:rowOff>122464</xdr:rowOff>
    </xdr:from>
    <xdr:to>
      <xdr:col>58</xdr:col>
      <xdr:colOff>20412</xdr:colOff>
      <xdr:row>166</xdr:row>
      <xdr:rowOff>92527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8C67815-5C2C-48D5-B076-CA11EE181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102</xdr:col>
      <xdr:colOff>34017</xdr:colOff>
      <xdr:row>103</xdr:row>
      <xdr:rowOff>84364</xdr:rowOff>
    </xdr:from>
    <xdr:to>
      <xdr:col>114</xdr:col>
      <xdr:colOff>367394</xdr:colOff>
      <xdr:row>129</xdr:row>
      <xdr:rowOff>163286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BB22B5-72FA-4A0A-A72A-5FEBFA59E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93</xdr:col>
      <xdr:colOff>13606</xdr:colOff>
      <xdr:row>135</xdr:row>
      <xdr:rowOff>98762</xdr:rowOff>
    </xdr:from>
    <xdr:to>
      <xdr:col>115</xdr:col>
      <xdr:colOff>556914</xdr:colOff>
      <xdr:row>151</xdr:row>
      <xdr:rowOff>149678</xdr:rowOff>
    </xdr:to>
    <xdr:pic>
      <xdr:nvPicPr>
        <xdr:cNvPr id="14" name="Picture 13" descr="a) Current half-fan bowtie filter on the Varian imaging system, (b)... |  Download Scientific Diagram">
          <a:extLst>
            <a:ext uri="{FF2B5EF4-FFF2-40B4-BE49-F238E27FC236}">
              <a16:creationId xmlns:a16="http://schemas.microsoft.com/office/drawing/2014/main" id="{C4844190-AB82-4889-9393-20FC4215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27106" y="26483012"/>
          <a:ext cx="14014379" cy="3098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387803</xdr:colOff>
      <xdr:row>5</xdr:row>
      <xdr:rowOff>63953</xdr:rowOff>
    </xdr:from>
    <xdr:to>
      <xdr:col>24</xdr:col>
      <xdr:colOff>564696</xdr:colOff>
      <xdr:row>19</xdr:row>
      <xdr:rowOff>140153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5F4ED4C-6910-99F2-2C27-D617CD5DC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102054</xdr:colOff>
      <xdr:row>13</xdr:row>
      <xdr:rowOff>23132</xdr:rowOff>
    </xdr:from>
    <xdr:to>
      <xdr:col>19</xdr:col>
      <xdr:colOff>632733</xdr:colOff>
      <xdr:row>27</xdr:row>
      <xdr:rowOff>99332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989B830-4ECF-C8CF-25D4-CDB0DFF04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6"/>
  <sheetViews>
    <sheetView zoomScale="55" zoomScaleNormal="55" workbookViewId="0">
      <selection activeCell="H37" sqref="H37"/>
    </sheetView>
  </sheetViews>
  <sheetFormatPr defaultRowHeight="15" x14ac:dyDescent="0.25"/>
  <cols>
    <col min="7" max="7" width="9.85546875" bestFit="1" customWidth="1"/>
    <col min="9" max="9" width="12.42578125" bestFit="1" customWidth="1"/>
  </cols>
  <sheetData>
    <row r="1" spans="1:18" x14ac:dyDescent="0.25">
      <c r="G1" t="s">
        <v>6</v>
      </c>
      <c r="N1">
        <v>100</v>
      </c>
      <c r="O1" t="s">
        <v>0</v>
      </c>
      <c r="Q1" t="s">
        <v>13</v>
      </c>
      <c r="R1" t="s">
        <v>14</v>
      </c>
    </row>
    <row r="2" spans="1:18" x14ac:dyDescent="0.25">
      <c r="G2" t="s">
        <v>4</v>
      </c>
      <c r="K2" t="s">
        <v>5</v>
      </c>
      <c r="L2" t="s">
        <v>7</v>
      </c>
      <c r="M2">
        <v>14</v>
      </c>
      <c r="N2">
        <v>15</v>
      </c>
      <c r="O2" t="s">
        <v>11</v>
      </c>
    </row>
    <row r="3" spans="1:18" x14ac:dyDescent="0.25">
      <c r="A3" t="s">
        <v>3</v>
      </c>
      <c r="B3" t="s">
        <v>0</v>
      </c>
      <c r="C3" t="s">
        <v>1</v>
      </c>
      <c r="D3" t="s">
        <v>2</v>
      </c>
      <c r="G3" t="s">
        <v>3</v>
      </c>
      <c r="H3" t="s">
        <v>2</v>
      </c>
      <c r="L3" t="s">
        <v>8</v>
      </c>
      <c r="M3">
        <v>14</v>
      </c>
      <c r="N3">
        <v>20</v>
      </c>
      <c r="O3" t="s">
        <v>12</v>
      </c>
    </row>
    <row r="4" spans="1:18" x14ac:dyDescent="0.25">
      <c r="A4">
        <v>0</v>
      </c>
      <c r="D4">
        <v>201</v>
      </c>
      <c r="G4">
        <v>0</v>
      </c>
      <c r="L4" t="s">
        <v>9</v>
      </c>
      <c r="M4">
        <v>10.7</v>
      </c>
    </row>
    <row r="5" spans="1:18" x14ac:dyDescent="0.25">
      <c r="A5">
        <v>-5</v>
      </c>
      <c r="D5">
        <v>199</v>
      </c>
      <c r="G5">
        <v>0.5</v>
      </c>
      <c r="L5" t="s">
        <v>10</v>
      </c>
      <c r="M5">
        <v>10.7</v>
      </c>
    </row>
    <row r="6" spans="1:18" x14ac:dyDescent="0.25">
      <c r="A6">
        <v>-10</v>
      </c>
      <c r="D6">
        <v>59.5</v>
      </c>
      <c r="G6">
        <v>1</v>
      </c>
    </row>
    <row r="7" spans="1:18" x14ac:dyDescent="0.25">
      <c r="A7">
        <v>-15</v>
      </c>
      <c r="D7">
        <v>0</v>
      </c>
      <c r="G7">
        <v>1.5</v>
      </c>
    </row>
    <row r="8" spans="1:18" x14ac:dyDescent="0.25">
      <c r="G8">
        <v>2</v>
      </c>
    </row>
    <row r="9" spans="1:18" x14ac:dyDescent="0.25">
      <c r="G9">
        <v>2.5</v>
      </c>
    </row>
    <row r="10" spans="1:18" x14ac:dyDescent="0.25">
      <c r="G10">
        <v>3</v>
      </c>
    </row>
    <row r="11" spans="1:18" x14ac:dyDescent="0.25">
      <c r="G11">
        <v>3.5</v>
      </c>
    </row>
    <row r="12" spans="1:18" x14ac:dyDescent="0.25">
      <c r="G12">
        <v>4</v>
      </c>
    </row>
    <row r="13" spans="1:18" x14ac:dyDescent="0.25">
      <c r="G13">
        <v>4.5</v>
      </c>
    </row>
    <row r="14" spans="1:18" x14ac:dyDescent="0.25">
      <c r="G14">
        <v>5</v>
      </c>
    </row>
    <row r="15" spans="1:18" x14ac:dyDescent="0.25">
      <c r="G15">
        <v>5.5</v>
      </c>
    </row>
    <row r="16" spans="1:18" x14ac:dyDescent="0.25">
      <c r="G16">
        <v>6</v>
      </c>
    </row>
    <row r="17" spans="7:7" x14ac:dyDescent="0.25">
      <c r="G17">
        <v>6.5</v>
      </c>
    </row>
    <row r="18" spans="7:7" x14ac:dyDescent="0.25">
      <c r="G18">
        <v>7</v>
      </c>
    </row>
    <row r="19" spans="7:7" x14ac:dyDescent="0.25">
      <c r="G19">
        <v>7.5</v>
      </c>
    </row>
    <row r="20" spans="7:7" x14ac:dyDescent="0.25">
      <c r="G20">
        <v>8</v>
      </c>
    </row>
    <row r="21" spans="7:7" x14ac:dyDescent="0.25">
      <c r="G21">
        <v>8.5</v>
      </c>
    </row>
    <row r="22" spans="7:7" x14ac:dyDescent="0.25">
      <c r="G22">
        <v>9</v>
      </c>
    </row>
    <row r="23" spans="7:7" x14ac:dyDescent="0.25">
      <c r="G23">
        <v>9.5</v>
      </c>
    </row>
    <row r="24" spans="7:7" x14ac:dyDescent="0.25">
      <c r="G24">
        <v>10</v>
      </c>
    </row>
    <row r="25" spans="7:7" x14ac:dyDescent="0.25">
      <c r="G25">
        <v>10.5</v>
      </c>
    </row>
    <row r="26" spans="7:7" x14ac:dyDescent="0.25">
      <c r="G26">
        <v>11</v>
      </c>
    </row>
    <row r="27" spans="7:7" x14ac:dyDescent="0.25">
      <c r="G27">
        <v>11.5</v>
      </c>
    </row>
    <row r="28" spans="7:7" x14ac:dyDescent="0.25">
      <c r="G28">
        <v>12</v>
      </c>
    </row>
    <row r="29" spans="7:7" x14ac:dyDescent="0.25">
      <c r="G29">
        <v>12.5</v>
      </c>
    </row>
    <row r="30" spans="7:7" x14ac:dyDescent="0.25">
      <c r="G30">
        <v>13</v>
      </c>
    </row>
    <row r="31" spans="7:7" x14ac:dyDescent="0.25">
      <c r="G31">
        <v>13.5</v>
      </c>
    </row>
    <row r="32" spans="7:7" x14ac:dyDescent="0.25">
      <c r="G32">
        <v>14</v>
      </c>
    </row>
    <row r="33" spans="6:10" x14ac:dyDescent="0.25">
      <c r="G33">
        <v>14.5</v>
      </c>
    </row>
    <row r="34" spans="6:10" x14ac:dyDescent="0.25">
      <c r="G34">
        <v>15</v>
      </c>
    </row>
    <row r="36" spans="6:10" x14ac:dyDescent="0.25">
      <c r="F36">
        <v>0</v>
      </c>
      <c r="G36">
        <v>0</v>
      </c>
      <c r="H36">
        <v>167</v>
      </c>
      <c r="J36">
        <v>165</v>
      </c>
    </row>
    <row r="37" spans="6:10" x14ac:dyDescent="0.25">
      <c r="F37">
        <v>-0.5</v>
      </c>
      <c r="G37">
        <v>999.5</v>
      </c>
      <c r="H37">
        <v>165</v>
      </c>
    </row>
    <row r="38" spans="6:10" x14ac:dyDescent="0.25">
      <c r="F38">
        <v>-1</v>
      </c>
      <c r="G38">
        <v>999</v>
      </c>
      <c r="H38">
        <v>164</v>
      </c>
    </row>
    <row r="39" spans="6:10" x14ac:dyDescent="0.25">
      <c r="F39">
        <v>-1.5</v>
      </c>
      <c r="G39">
        <v>998.5</v>
      </c>
      <c r="H39">
        <v>162</v>
      </c>
    </row>
    <row r="40" spans="6:10" x14ac:dyDescent="0.25">
      <c r="F40">
        <v>-2</v>
      </c>
      <c r="G40">
        <v>998</v>
      </c>
      <c r="H40">
        <v>156</v>
      </c>
    </row>
    <row r="41" spans="6:10" x14ac:dyDescent="0.25">
      <c r="F41">
        <v>-2.5</v>
      </c>
      <c r="G41">
        <v>997.5</v>
      </c>
      <c r="H41">
        <v>151</v>
      </c>
    </row>
    <row r="42" spans="6:10" x14ac:dyDescent="0.25">
      <c r="F42">
        <v>-3</v>
      </c>
      <c r="G42">
        <v>997</v>
      </c>
      <c r="H42">
        <v>145</v>
      </c>
    </row>
    <row r="43" spans="6:10" x14ac:dyDescent="0.25">
      <c r="F43">
        <v>-3.5</v>
      </c>
      <c r="G43">
        <v>996.5</v>
      </c>
      <c r="H43">
        <v>136</v>
      </c>
    </row>
    <row r="44" spans="6:10" x14ac:dyDescent="0.25">
      <c r="F44">
        <v>-4</v>
      </c>
      <c r="G44">
        <v>996</v>
      </c>
      <c r="H44">
        <v>133</v>
      </c>
    </row>
    <row r="45" spans="6:10" x14ac:dyDescent="0.25">
      <c r="F45">
        <v>-4.5</v>
      </c>
      <c r="G45">
        <v>995.5</v>
      </c>
      <c r="H45">
        <v>111</v>
      </c>
    </row>
    <row r="46" spans="6:10" x14ac:dyDescent="0.25">
      <c r="F46">
        <v>-5</v>
      </c>
      <c r="G46">
        <v>995</v>
      </c>
      <c r="H46">
        <v>105</v>
      </c>
    </row>
    <row r="47" spans="6:10" x14ac:dyDescent="0.25">
      <c r="F47">
        <v>-5.5</v>
      </c>
      <c r="G47">
        <v>994.5</v>
      </c>
      <c r="H47">
        <v>94</v>
      </c>
    </row>
    <row r="48" spans="6:10" x14ac:dyDescent="0.25">
      <c r="F48">
        <v>-6</v>
      </c>
      <c r="G48">
        <v>994</v>
      </c>
      <c r="H48">
        <v>83</v>
      </c>
      <c r="J48">
        <v>72.8</v>
      </c>
    </row>
    <row r="49" spans="6:10" x14ac:dyDescent="0.25">
      <c r="F49">
        <v>-6.5</v>
      </c>
      <c r="G49">
        <v>993.5</v>
      </c>
      <c r="H49">
        <v>72</v>
      </c>
      <c r="J49">
        <v>60.4</v>
      </c>
    </row>
    <row r="50" spans="6:10" x14ac:dyDescent="0.25">
      <c r="F50">
        <v>-7</v>
      </c>
      <c r="G50">
        <v>993</v>
      </c>
      <c r="H50">
        <v>59</v>
      </c>
      <c r="J50">
        <v>46.6</v>
      </c>
    </row>
    <row r="51" spans="6:10" x14ac:dyDescent="0.25">
      <c r="F51">
        <v>-7.5</v>
      </c>
      <c r="G51">
        <v>992.5</v>
      </c>
      <c r="H51">
        <v>44</v>
      </c>
      <c r="J51">
        <v>33</v>
      </c>
    </row>
    <row r="52" spans="6:10" x14ac:dyDescent="0.25">
      <c r="F52">
        <v>-8</v>
      </c>
      <c r="G52">
        <v>992</v>
      </c>
      <c r="I52" t="s">
        <v>15</v>
      </c>
      <c r="J52">
        <v>28.5</v>
      </c>
    </row>
    <row r="53" spans="6:10" x14ac:dyDescent="0.25">
      <c r="F53">
        <v>-8.5</v>
      </c>
      <c r="G53">
        <v>991.5</v>
      </c>
      <c r="J53">
        <v>26</v>
      </c>
    </row>
    <row r="54" spans="6:10" x14ac:dyDescent="0.25">
      <c r="F54">
        <v>-9</v>
      </c>
      <c r="G54">
        <v>991</v>
      </c>
      <c r="J54">
        <v>24.5</v>
      </c>
    </row>
    <row r="55" spans="6:10" x14ac:dyDescent="0.25">
      <c r="F55">
        <v>-9.5</v>
      </c>
      <c r="G55">
        <v>990.5</v>
      </c>
      <c r="J55">
        <v>24.5</v>
      </c>
    </row>
    <row r="56" spans="6:10" x14ac:dyDescent="0.25">
      <c r="F56">
        <v>-10</v>
      </c>
      <c r="G56">
        <v>990</v>
      </c>
      <c r="J56">
        <v>23.5</v>
      </c>
    </row>
    <row r="57" spans="6:10" x14ac:dyDescent="0.25">
      <c r="F57">
        <v>-10.5</v>
      </c>
      <c r="G57">
        <v>989.5</v>
      </c>
      <c r="J57">
        <v>22</v>
      </c>
    </row>
    <row r="58" spans="6:10" x14ac:dyDescent="0.25">
      <c r="F58">
        <v>-11</v>
      </c>
      <c r="G58">
        <v>989</v>
      </c>
      <c r="J58">
        <v>21.7</v>
      </c>
    </row>
    <row r="59" spans="6:10" x14ac:dyDescent="0.25">
      <c r="F59">
        <v>-11.5</v>
      </c>
      <c r="G59">
        <v>988.5</v>
      </c>
      <c r="J59">
        <v>21.4</v>
      </c>
    </row>
    <row r="60" spans="6:10" x14ac:dyDescent="0.25">
      <c r="F60">
        <v>-12</v>
      </c>
      <c r="G60">
        <v>988</v>
      </c>
      <c r="J60">
        <v>21</v>
      </c>
    </row>
    <row r="61" spans="6:10" x14ac:dyDescent="0.25">
      <c r="F61">
        <v>-12.5</v>
      </c>
      <c r="G61">
        <v>987.5</v>
      </c>
      <c r="J61">
        <v>20.7</v>
      </c>
    </row>
    <row r="62" spans="6:10" x14ac:dyDescent="0.25">
      <c r="F62">
        <v>-13</v>
      </c>
      <c r="G62">
        <v>987</v>
      </c>
      <c r="J62">
        <v>17.899999999999999</v>
      </c>
    </row>
    <row r="63" spans="6:10" x14ac:dyDescent="0.25">
      <c r="F63">
        <v>-13.5</v>
      </c>
      <c r="G63">
        <v>986.5</v>
      </c>
      <c r="J63">
        <v>17.899999999999999</v>
      </c>
    </row>
    <row r="64" spans="6:10" x14ac:dyDescent="0.25">
      <c r="F64">
        <v>-14</v>
      </c>
      <c r="G64">
        <v>986</v>
      </c>
    </row>
    <row r="65" spans="6:7" x14ac:dyDescent="0.25">
      <c r="F65">
        <v>-14.5</v>
      </c>
      <c r="G65">
        <v>985.5</v>
      </c>
    </row>
    <row r="66" spans="6:7" x14ac:dyDescent="0.25">
      <c r="F66">
        <v>-15</v>
      </c>
      <c r="G66">
        <v>985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4"/>
  <sheetViews>
    <sheetView workbookViewId="0">
      <selection activeCell="B10" sqref="B10"/>
    </sheetView>
  </sheetViews>
  <sheetFormatPr defaultRowHeight="15" x14ac:dyDescent="0.25"/>
  <sheetData>
    <row r="1" spans="1:12" x14ac:dyDescent="0.25">
      <c r="A1" t="s">
        <v>16</v>
      </c>
      <c r="E1" t="s">
        <v>7</v>
      </c>
      <c r="F1">
        <v>14</v>
      </c>
    </row>
    <row r="2" spans="1:12" x14ac:dyDescent="0.25">
      <c r="B2" t="s">
        <v>17</v>
      </c>
      <c r="C2">
        <v>100</v>
      </c>
      <c r="E2" t="s">
        <v>8</v>
      </c>
      <c r="F2">
        <v>14</v>
      </c>
    </row>
    <row r="3" spans="1:12" x14ac:dyDescent="0.25">
      <c r="B3" t="s">
        <v>11</v>
      </c>
      <c r="C3">
        <v>15</v>
      </c>
      <c r="E3" t="s">
        <v>9</v>
      </c>
      <c r="F3">
        <v>10.7</v>
      </c>
    </row>
    <row r="4" spans="1:12" x14ac:dyDescent="0.25">
      <c r="B4" t="s">
        <v>12</v>
      </c>
      <c r="C4">
        <v>20</v>
      </c>
      <c r="E4" t="s">
        <v>10</v>
      </c>
      <c r="F4">
        <v>10.7</v>
      </c>
    </row>
    <row r="5" spans="1:12" x14ac:dyDescent="0.25">
      <c r="B5" t="s">
        <v>23</v>
      </c>
      <c r="C5">
        <v>15</v>
      </c>
    </row>
    <row r="6" spans="1:12" x14ac:dyDescent="0.25">
      <c r="B6" t="s">
        <v>35</v>
      </c>
      <c r="C6" t="s">
        <v>37</v>
      </c>
    </row>
    <row r="7" spans="1:12" x14ac:dyDescent="0.25">
      <c r="B7" t="s">
        <v>36</v>
      </c>
      <c r="C7" t="s">
        <v>38</v>
      </c>
    </row>
    <row r="9" spans="1:12" x14ac:dyDescent="0.25">
      <c r="A9" t="s">
        <v>21</v>
      </c>
      <c r="B9">
        <v>100.38</v>
      </c>
      <c r="C9" t="s">
        <v>21</v>
      </c>
    </row>
    <row r="10" spans="1:12" x14ac:dyDescent="0.25">
      <c r="A10" t="s">
        <v>18</v>
      </c>
      <c r="B10">
        <v>6.8869999999999996</v>
      </c>
      <c r="C10" t="s">
        <v>25</v>
      </c>
      <c r="K10" t="s">
        <v>75</v>
      </c>
    </row>
    <row r="11" spans="1:12" x14ac:dyDescent="0.25">
      <c r="A11" t="s">
        <v>19</v>
      </c>
      <c r="B11">
        <v>10.829000000000001</v>
      </c>
      <c r="C11" t="s">
        <v>26</v>
      </c>
      <c r="K11" t="s">
        <v>76</v>
      </c>
    </row>
    <row r="12" spans="1:12" x14ac:dyDescent="0.25">
      <c r="A12" t="s">
        <v>27</v>
      </c>
      <c r="B12">
        <v>1.3919999999999999</v>
      </c>
      <c r="C12" t="s">
        <v>22</v>
      </c>
      <c r="K12">
        <f>1/B14</f>
        <v>6.7801666564964169E-2</v>
      </c>
      <c r="L12" t="s">
        <v>77</v>
      </c>
    </row>
    <row r="13" spans="1:12" x14ac:dyDescent="0.25">
      <c r="A13" t="s">
        <v>28</v>
      </c>
      <c r="B13">
        <v>0.17100000000000001</v>
      </c>
      <c r="C13" t="s">
        <v>20</v>
      </c>
    </row>
    <row r="14" spans="1:12" x14ac:dyDescent="0.25">
      <c r="A14" t="s">
        <v>24</v>
      </c>
      <c r="B14">
        <v>14.748900000000001</v>
      </c>
      <c r="C14" t="s">
        <v>24</v>
      </c>
      <c r="K1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6"/>
  <sheetViews>
    <sheetView workbookViewId="0">
      <selection activeCell="B10" sqref="B10"/>
    </sheetView>
  </sheetViews>
  <sheetFormatPr defaultRowHeight="15" x14ac:dyDescent="0.25"/>
  <sheetData>
    <row r="1" spans="1:10" x14ac:dyDescent="0.25">
      <c r="A1" t="s">
        <v>29</v>
      </c>
      <c r="F1" t="s">
        <v>7</v>
      </c>
      <c r="G1">
        <v>24.7</v>
      </c>
      <c r="H1" t="s">
        <v>39</v>
      </c>
      <c r="J1" t="s">
        <v>40</v>
      </c>
    </row>
    <row r="2" spans="1:10" x14ac:dyDescent="0.25">
      <c r="B2" t="s">
        <v>17</v>
      </c>
      <c r="C2">
        <v>125</v>
      </c>
      <c r="F2" t="s">
        <v>8</v>
      </c>
      <c r="G2">
        <v>3.3</v>
      </c>
    </row>
    <row r="3" spans="1:10" x14ac:dyDescent="0.25">
      <c r="B3" t="s">
        <v>11</v>
      </c>
      <c r="C3">
        <v>60</v>
      </c>
      <c r="F3" t="s">
        <v>9</v>
      </c>
      <c r="G3">
        <v>10.7</v>
      </c>
    </row>
    <row r="4" spans="1:10" x14ac:dyDescent="0.25">
      <c r="B4" t="s">
        <v>12</v>
      </c>
      <c r="C4">
        <v>20</v>
      </c>
      <c r="F4" t="s">
        <v>10</v>
      </c>
      <c r="G4">
        <v>10.7</v>
      </c>
    </row>
    <row r="5" spans="1:10" x14ac:dyDescent="0.25">
      <c r="B5" t="s">
        <v>23</v>
      </c>
      <c r="C5">
        <v>15</v>
      </c>
    </row>
    <row r="6" spans="1:10" x14ac:dyDescent="0.25">
      <c r="B6" t="s">
        <v>35</v>
      </c>
      <c r="C6" t="s">
        <v>38</v>
      </c>
    </row>
    <row r="7" spans="1:10" x14ac:dyDescent="0.25">
      <c r="B7" t="s">
        <v>36</v>
      </c>
      <c r="C7" t="s">
        <v>37</v>
      </c>
    </row>
    <row r="9" spans="1:10" x14ac:dyDescent="0.25">
      <c r="A9" t="s">
        <v>21</v>
      </c>
      <c r="B9">
        <v>129.04</v>
      </c>
      <c r="C9" t="s">
        <v>21</v>
      </c>
      <c r="I9" t="s">
        <v>75</v>
      </c>
    </row>
    <row r="10" spans="1:10" x14ac:dyDescent="0.25">
      <c r="A10" t="s">
        <v>18</v>
      </c>
      <c r="B10">
        <v>8.3710000000000004</v>
      </c>
      <c r="C10" t="s">
        <v>25</v>
      </c>
      <c r="I10" t="s">
        <v>76</v>
      </c>
    </row>
    <row r="11" spans="1:10" x14ac:dyDescent="0.25">
      <c r="A11" t="s">
        <v>19</v>
      </c>
      <c r="B11" t="s">
        <v>44</v>
      </c>
      <c r="C11" t="s">
        <v>26</v>
      </c>
      <c r="I11">
        <f>1/B14</f>
        <v>6.7762614010598077E-2</v>
      </c>
      <c r="J11" t="s">
        <v>77</v>
      </c>
    </row>
    <row r="12" spans="1:10" x14ac:dyDescent="0.25">
      <c r="A12" t="s">
        <v>27</v>
      </c>
      <c r="B12">
        <v>9.2799999999999994</v>
      </c>
      <c r="C12" t="s">
        <v>22</v>
      </c>
    </row>
    <row r="13" spans="1:10" x14ac:dyDescent="0.25">
      <c r="A13" t="s">
        <v>28</v>
      </c>
      <c r="B13">
        <v>1.1100000000000001</v>
      </c>
      <c r="C13" t="s">
        <v>20</v>
      </c>
      <c r="I13" t="s">
        <v>78</v>
      </c>
    </row>
    <row r="14" spans="1:10" x14ac:dyDescent="0.25">
      <c r="A14" t="s">
        <v>24</v>
      </c>
      <c r="B14">
        <v>14.757400000000001</v>
      </c>
      <c r="C14" t="s">
        <v>24</v>
      </c>
    </row>
    <row r="15" spans="1:10" x14ac:dyDescent="0.25">
      <c r="I15" t="s">
        <v>110</v>
      </c>
    </row>
    <row r="16" spans="1:10" x14ac:dyDescent="0.25">
      <c r="I16">
        <f>(G1+G2)/2</f>
        <v>14</v>
      </c>
      <c r="J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4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 t="s">
        <v>34</v>
      </c>
      <c r="F1" t="s">
        <v>7</v>
      </c>
      <c r="G1">
        <v>24.7</v>
      </c>
      <c r="H1" t="s">
        <v>39</v>
      </c>
      <c r="J1" t="s">
        <v>40</v>
      </c>
    </row>
    <row r="2" spans="1:10" x14ac:dyDescent="0.25">
      <c r="B2" t="s">
        <v>17</v>
      </c>
      <c r="C2">
        <v>140</v>
      </c>
      <c r="F2" t="s">
        <v>8</v>
      </c>
      <c r="G2">
        <v>3.3</v>
      </c>
    </row>
    <row r="3" spans="1:10" x14ac:dyDescent="0.25">
      <c r="B3" t="s">
        <v>11</v>
      </c>
      <c r="C3">
        <v>75</v>
      </c>
      <c r="F3" t="s">
        <v>9</v>
      </c>
      <c r="G3">
        <v>10.7</v>
      </c>
    </row>
    <row r="4" spans="1:10" x14ac:dyDescent="0.25">
      <c r="B4" t="s">
        <v>12</v>
      </c>
      <c r="C4">
        <v>25</v>
      </c>
      <c r="F4" t="s">
        <v>10</v>
      </c>
      <c r="G4">
        <v>10.7</v>
      </c>
    </row>
    <row r="5" spans="1:10" x14ac:dyDescent="0.25">
      <c r="B5" t="s">
        <v>23</v>
      </c>
      <c r="C5">
        <v>5</v>
      </c>
    </row>
    <row r="6" spans="1:10" x14ac:dyDescent="0.25">
      <c r="B6" t="s">
        <v>35</v>
      </c>
      <c r="C6" t="s">
        <v>38</v>
      </c>
    </row>
    <row r="7" spans="1:10" x14ac:dyDescent="0.25">
      <c r="B7" t="s">
        <v>36</v>
      </c>
      <c r="C7" t="s">
        <v>37</v>
      </c>
    </row>
    <row r="9" spans="1:10" x14ac:dyDescent="0.25">
      <c r="A9" t="s">
        <v>21</v>
      </c>
      <c r="B9">
        <v>143.29</v>
      </c>
      <c r="C9" t="s">
        <v>21</v>
      </c>
    </row>
    <row r="10" spans="1:10" x14ac:dyDescent="0.25">
      <c r="A10" t="s">
        <v>18</v>
      </c>
      <c r="B10">
        <v>8.9420000000000002</v>
      </c>
      <c r="C10" t="s">
        <v>25</v>
      </c>
    </row>
    <row r="11" spans="1:10" x14ac:dyDescent="0.25">
      <c r="A11" t="s">
        <v>19</v>
      </c>
      <c r="B11" t="s">
        <v>44</v>
      </c>
      <c r="C11" t="s">
        <v>26</v>
      </c>
    </row>
    <row r="12" spans="1:10" x14ac:dyDescent="0.25">
      <c r="A12" t="s">
        <v>27</v>
      </c>
      <c r="B12">
        <v>6.008</v>
      </c>
      <c r="C12" t="s">
        <v>22</v>
      </c>
    </row>
    <row r="13" spans="1:10" x14ac:dyDescent="0.25">
      <c r="A13" t="s">
        <v>28</v>
      </c>
      <c r="B13">
        <v>0.75</v>
      </c>
      <c r="C13" t="s">
        <v>20</v>
      </c>
    </row>
    <row r="14" spans="1:10" x14ac:dyDescent="0.25">
      <c r="A14" t="s">
        <v>24</v>
      </c>
      <c r="B14">
        <v>4.9668900000000002</v>
      </c>
      <c r="C1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4"/>
  <sheetViews>
    <sheetView workbookViewId="0">
      <selection activeCell="F10" sqref="F10"/>
    </sheetView>
  </sheetViews>
  <sheetFormatPr defaultRowHeight="15" x14ac:dyDescent="0.25"/>
  <sheetData>
    <row r="1" spans="1:10" x14ac:dyDescent="0.25">
      <c r="A1" t="s">
        <v>41</v>
      </c>
      <c r="B1" t="s">
        <v>30</v>
      </c>
      <c r="C1" t="s">
        <v>31</v>
      </c>
      <c r="E1" t="s">
        <v>42</v>
      </c>
      <c r="F1" t="s">
        <v>30</v>
      </c>
      <c r="G1" t="s">
        <v>31</v>
      </c>
      <c r="I1" t="s">
        <v>7</v>
      </c>
      <c r="J1">
        <v>14</v>
      </c>
    </row>
    <row r="2" spans="1:10" x14ac:dyDescent="0.25">
      <c r="B2" t="s">
        <v>17</v>
      </c>
      <c r="C2">
        <v>125</v>
      </c>
      <c r="F2" t="s">
        <v>17</v>
      </c>
      <c r="G2">
        <v>125</v>
      </c>
      <c r="I2" t="s">
        <v>8</v>
      </c>
      <c r="J2">
        <v>14</v>
      </c>
    </row>
    <row r="3" spans="1:10" x14ac:dyDescent="0.25">
      <c r="B3" t="s">
        <v>11</v>
      </c>
      <c r="C3">
        <v>10</v>
      </c>
      <c r="F3" t="s">
        <v>11</v>
      </c>
      <c r="G3">
        <v>10</v>
      </c>
      <c r="I3" t="s">
        <v>9</v>
      </c>
      <c r="J3">
        <v>10.7</v>
      </c>
    </row>
    <row r="4" spans="1:10" x14ac:dyDescent="0.25">
      <c r="B4" t="s">
        <v>12</v>
      </c>
      <c r="C4">
        <v>10</v>
      </c>
      <c r="F4" t="s">
        <v>12</v>
      </c>
      <c r="G4">
        <v>10</v>
      </c>
      <c r="I4" t="s">
        <v>10</v>
      </c>
      <c r="J4">
        <v>10.7</v>
      </c>
    </row>
    <row r="5" spans="1:10" x14ac:dyDescent="0.25">
      <c r="B5" t="s">
        <v>23</v>
      </c>
      <c r="C5">
        <v>7</v>
      </c>
      <c r="F5" t="s">
        <v>23</v>
      </c>
      <c r="G5">
        <v>7</v>
      </c>
    </row>
    <row r="6" spans="1:10" x14ac:dyDescent="0.25">
      <c r="B6" t="s">
        <v>35</v>
      </c>
      <c r="C6" t="s">
        <v>37</v>
      </c>
      <c r="F6" t="s">
        <v>35</v>
      </c>
      <c r="G6" t="s">
        <v>37</v>
      </c>
    </row>
    <row r="7" spans="1:10" x14ac:dyDescent="0.25">
      <c r="B7" t="s">
        <v>36</v>
      </c>
      <c r="C7" t="s">
        <v>38</v>
      </c>
      <c r="F7" t="s">
        <v>36</v>
      </c>
      <c r="G7" t="s">
        <v>38</v>
      </c>
    </row>
    <row r="9" spans="1:10" x14ac:dyDescent="0.25">
      <c r="A9" t="s">
        <v>21</v>
      </c>
      <c r="B9">
        <v>122.89</v>
      </c>
      <c r="C9" t="s">
        <v>21</v>
      </c>
      <c r="E9" t="s">
        <v>21</v>
      </c>
      <c r="F9">
        <v>121.1</v>
      </c>
      <c r="G9" t="s">
        <v>21</v>
      </c>
    </row>
    <row r="10" spans="1:10" x14ac:dyDescent="0.25">
      <c r="A10" t="s">
        <v>18</v>
      </c>
      <c r="B10">
        <v>7.8490000000000002</v>
      </c>
      <c r="C10" t="s">
        <v>25</v>
      </c>
      <c r="E10" t="s">
        <v>18</v>
      </c>
      <c r="F10">
        <v>7.8570000000000002</v>
      </c>
      <c r="G10" t="s">
        <v>25</v>
      </c>
    </row>
    <row r="11" spans="1:10" x14ac:dyDescent="0.25">
      <c r="A11" t="s">
        <v>19</v>
      </c>
      <c r="B11">
        <v>9.8830799999999996</v>
      </c>
      <c r="C11" t="s">
        <v>26</v>
      </c>
      <c r="E11" t="s">
        <v>19</v>
      </c>
      <c r="F11">
        <v>10.8568</v>
      </c>
      <c r="G11" t="s">
        <v>26</v>
      </c>
    </row>
    <row r="12" spans="1:10" x14ac:dyDescent="0.25">
      <c r="A12" t="s">
        <v>27</v>
      </c>
      <c r="B12">
        <v>0.68899999999999995</v>
      </c>
      <c r="C12" t="s">
        <v>22</v>
      </c>
      <c r="E12" t="s">
        <v>27</v>
      </c>
      <c r="F12">
        <v>0.55600000000000005</v>
      </c>
      <c r="G12" t="s">
        <v>22</v>
      </c>
    </row>
    <row r="13" spans="1:10" x14ac:dyDescent="0.25">
      <c r="A13" t="s">
        <v>28</v>
      </c>
      <c r="B13">
        <v>6.6000000000000003E-2</v>
      </c>
      <c r="C13" t="s">
        <v>20</v>
      </c>
      <c r="E13" t="s">
        <v>28</v>
      </c>
      <c r="F13">
        <v>6.0000000000000001E-3</v>
      </c>
      <c r="G13" t="s">
        <v>20</v>
      </c>
    </row>
    <row r="14" spans="1:10" x14ac:dyDescent="0.25">
      <c r="A14" t="s">
        <v>24</v>
      </c>
      <c r="B14">
        <v>7</v>
      </c>
      <c r="C14" t="s">
        <v>24</v>
      </c>
      <c r="E14" t="s">
        <v>24</v>
      </c>
      <c r="F14" t="s">
        <v>44</v>
      </c>
      <c r="G14" t="s">
        <v>24</v>
      </c>
    </row>
    <row r="16" spans="1:10" x14ac:dyDescent="0.25">
      <c r="A16" s="25" t="s">
        <v>127</v>
      </c>
    </row>
    <row r="20" spans="2:3" x14ac:dyDescent="0.25">
      <c r="B20" t="s">
        <v>75</v>
      </c>
    </row>
    <row r="21" spans="2:3" x14ac:dyDescent="0.25">
      <c r="B21" t="s">
        <v>76</v>
      </c>
    </row>
    <row r="22" spans="2:3" x14ac:dyDescent="0.25">
      <c r="B22">
        <f>1/B14</f>
        <v>0.14285714285714285</v>
      </c>
      <c r="C22" t="s">
        <v>77</v>
      </c>
    </row>
    <row r="24" spans="2:3" x14ac:dyDescent="0.25">
      <c r="B24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14"/>
  <sheetViews>
    <sheetView workbookViewId="0">
      <selection activeCell="M23" sqref="M23"/>
    </sheetView>
  </sheetViews>
  <sheetFormatPr defaultRowHeight="15" x14ac:dyDescent="0.25"/>
  <sheetData>
    <row r="1" spans="1:11" x14ac:dyDescent="0.25">
      <c r="A1" t="s">
        <v>32</v>
      </c>
      <c r="F1" t="s">
        <v>7</v>
      </c>
      <c r="G1">
        <v>24.7</v>
      </c>
      <c r="H1" t="s">
        <v>39</v>
      </c>
    </row>
    <row r="2" spans="1:11" x14ac:dyDescent="0.25">
      <c r="B2" t="s">
        <v>17</v>
      </c>
      <c r="C2">
        <v>125</v>
      </c>
      <c r="F2" t="s">
        <v>8</v>
      </c>
      <c r="G2">
        <v>3.3</v>
      </c>
    </row>
    <row r="3" spans="1:11" x14ac:dyDescent="0.25">
      <c r="B3" t="s">
        <v>11</v>
      </c>
      <c r="C3">
        <v>15</v>
      </c>
      <c r="F3" t="s">
        <v>9</v>
      </c>
      <c r="G3">
        <v>10.7</v>
      </c>
    </row>
    <row r="4" spans="1:11" x14ac:dyDescent="0.25">
      <c r="B4" t="s">
        <v>12</v>
      </c>
      <c r="C4">
        <v>20</v>
      </c>
      <c r="F4" t="s">
        <v>10</v>
      </c>
      <c r="G4">
        <v>10.7</v>
      </c>
    </row>
    <row r="5" spans="1:11" x14ac:dyDescent="0.25">
      <c r="B5" t="s">
        <v>23</v>
      </c>
      <c r="C5">
        <v>15</v>
      </c>
    </row>
    <row r="6" spans="1:11" x14ac:dyDescent="0.25">
      <c r="B6" t="s">
        <v>35</v>
      </c>
      <c r="C6" t="s">
        <v>38</v>
      </c>
    </row>
    <row r="7" spans="1:11" x14ac:dyDescent="0.25">
      <c r="B7" t="s">
        <v>36</v>
      </c>
      <c r="C7" t="s">
        <v>37</v>
      </c>
    </row>
    <row r="9" spans="1:11" x14ac:dyDescent="0.25">
      <c r="A9" t="s">
        <v>21</v>
      </c>
      <c r="B9">
        <v>123.96</v>
      </c>
      <c r="C9" t="s">
        <v>21</v>
      </c>
    </row>
    <row r="10" spans="1:11" x14ac:dyDescent="0.25">
      <c r="A10" t="s">
        <v>18</v>
      </c>
      <c r="B10">
        <v>7.9530000000000003</v>
      </c>
      <c r="C10" t="s">
        <v>25</v>
      </c>
      <c r="K10" t="s">
        <v>75</v>
      </c>
    </row>
    <row r="11" spans="1:11" x14ac:dyDescent="0.25">
      <c r="A11" t="s">
        <v>19</v>
      </c>
      <c r="B11" t="s">
        <v>44</v>
      </c>
      <c r="C11" t="s">
        <v>26</v>
      </c>
      <c r="K11" t="s">
        <v>76</v>
      </c>
    </row>
    <row r="12" spans="1:11" x14ac:dyDescent="0.25">
      <c r="A12" t="s">
        <v>27</v>
      </c>
      <c r="B12">
        <v>3.839</v>
      </c>
      <c r="C12" t="s">
        <v>22</v>
      </c>
      <c r="K12">
        <f>1/B14</f>
        <v>6.7724065069281719E-2</v>
      </c>
    </row>
    <row r="13" spans="1:11" x14ac:dyDescent="0.25">
      <c r="A13" t="s">
        <v>28</v>
      </c>
      <c r="B13">
        <v>0.32100000000000001</v>
      </c>
      <c r="C13" t="s">
        <v>20</v>
      </c>
    </row>
    <row r="14" spans="1:11" x14ac:dyDescent="0.25">
      <c r="A14" t="s">
        <v>24</v>
      </c>
      <c r="B14">
        <v>14.7658</v>
      </c>
      <c r="C14" t="s">
        <v>24</v>
      </c>
      <c r="K14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14"/>
  <sheetViews>
    <sheetView workbookViewId="0">
      <selection activeCell="B10" sqref="B10"/>
    </sheetView>
  </sheetViews>
  <sheetFormatPr defaultRowHeight="15" x14ac:dyDescent="0.25"/>
  <sheetData>
    <row r="1" spans="1:8" x14ac:dyDescent="0.25">
      <c r="A1" t="s">
        <v>33</v>
      </c>
      <c r="E1" t="s">
        <v>7</v>
      </c>
      <c r="F1">
        <v>14</v>
      </c>
      <c r="H1" t="s">
        <v>43</v>
      </c>
    </row>
    <row r="2" spans="1:8" x14ac:dyDescent="0.25">
      <c r="B2" t="s">
        <v>17</v>
      </c>
      <c r="C2">
        <v>80</v>
      </c>
      <c r="E2" t="s">
        <v>8</v>
      </c>
      <c r="F2">
        <v>14</v>
      </c>
    </row>
    <row r="3" spans="1:8" x14ac:dyDescent="0.25">
      <c r="B3" t="s">
        <v>11</v>
      </c>
      <c r="C3">
        <v>20</v>
      </c>
      <c r="E3" t="s">
        <v>9</v>
      </c>
      <c r="F3">
        <v>10.7</v>
      </c>
    </row>
    <row r="4" spans="1:8" x14ac:dyDescent="0.25">
      <c r="B4" t="s">
        <v>12</v>
      </c>
      <c r="C4">
        <v>10</v>
      </c>
      <c r="E4" t="s">
        <v>10</v>
      </c>
      <c r="F4">
        <v>10.7</v>
      </c>
    </row>
    <row r="5" spans="1:8" x14ac:dyDescent="0.25">
      <c r="B5" t="s">
        <v>23</v>
      </c>
      <c r="C5">
        <v>15</v>
      </c>
    </row>
    <row r="6" spans="1:8" x14ac:dyDescent="0.25">
      <c r="B6" t="s">
        <v>35</v>
      </c>
      <c r="C6" t="s">
        <v>37</v>
      </c>
    </row>
    <row r="7" spans="1:8" x14ac:dyDescent="0.25">
      <c r="B7" t="s">
        <v>36</v>
      </c>
      <c r="C7" t="s">
        <v>38</v>
      </c>
    </row>
    <row r="9" spans="1:8" x14ac:dyDescent="0.25">
      <c r="A9" t="s">
        <v>21</v>
      </c>
      <c r="B9">
        <v>79.81</v>
      </c>
      <c r="C9" t="s">
        <v>21</v>
      </c>
    </row>
    <row r="10" spans="1:8" x14ac:dyDescent="0.25">
      <c r="A10" t="s">
        <v>18</v>
      </c>
      <c r="B10">
        <v>5.7370000000000001</v>
      </c>
      <c r="C10" t="s">
        <v>25</v>
      </c>
    </row>
    <row r="11" spans="1:8" x14ac:dyDescent="0.25">
      <c r="A11" t="s">
        <v>19</v>
      </c>
      <c r="B11">
        <v>10.9072</v>
      </c>
      <c r="C11" t="s">
        <v>26</v>
      </c>
    </row>
    <row r="12" spans="1:8" x14ac:dyDescent="0.25">
      <c r="A12" t="s">
        <v>27</v>
      </c>
      <c r="B12">
        <v>0.63100000000000001</v>
      </c>
      <c r="C12" t="s">
        <v>22</v>
      </c>
    </row>
    <row r="13" spans="1:8" x14ac:dyDescent="0.25">
      <c r="A13" t="s">
        <v>28</v>
      </c>
      <c r="B13">
        <v>5.8000000000000003E-2</v>
      </c>
      <c r="C13" t="s">
        <v>20</v>
      </c>
    </row>
    <row r="14" spans="1:8" x14ac:dyDescent="0.25">
      <c r="A14" t="s">
        <v>24</v>
      </c>
      <c r="B14">
        <v>14.7813</v>
      </c>
      <c r="C1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AA21"/>
  <sheetViews>
    <sheetView workbookViewId="0">
      <selection activeCell="L28" sqref="L28"/>
    </sheetView>
  </sheetViews>
  <sheetFormatPr defaultRowHeight="15" x14ac:dyDescent="0.25"/>
  <cols>
    <col min="9" max="9" width="10" bestFit="1" customWidth="1"/>
    <col min="13" max="13" width="9.7109375" bestFit="1" customWidth="1"/>
    <col min="17" max="17" width="9.7109375" bestFit="1" customWidth="1"/>
    <col min="25" max="25" width="11.28515625" bestFit="1" customWidth="1"/>
  </cols>
  <sheetData>
    <row r="2" spans="1:27" x14ac:dyDescent="0.25">
      <c r="A2" s="1" t="s">
        <v>16</v>
      </c>
      <c r="B2" s="2" t="s">
        <v>46</v>
      </c>
      <c r="C2" s="3" t="s">
        <v>47</v>
      </c>
      <c r="E2" s="1" t="s">
        <v>29</v>
      </c>
      <c r="F2" s="2" t="s">
        <v>46</v>
      </c>
      <c r="G2" s="3" t="s">
        <v>47</v>
      </c>
      <c r="I2" s="1" t="s">
        <v>34</v>
      </c>
      <c r="J2" s="2" t="s">
        <v>46</v>
      </c>
      <c r="K2" s="3" t="s">
        <v>47</v>
      </c>
      <c r="M2" s="1" t="s">
        <v>41</v>
      </c>
      <c r="N2" s="2" t="s">
        <v>46</v>
      </c>
      <c r="O2" s="3" t="s">
        <v>47</v>
      </c>
      <c r="Q2" s="1" t="s">
        <v>42</v>
      </c>
      <c r="R2" s="2" t="s">
        <v>46</v>
      </c>
      <c r="S2" s="3" t="s">
        <v>47</v>
      </c>
      <c r="U2" s="1" t="s">
        <v>32</v>
      </c>
      <c r="V2" s="2" t="s">
        <v>46</v>
      </c>
      <c r="W2" s="3" t="s">
        <v>47</v>
      </c>
      <c r="Y2" s="1" t="s">
        <v>33</v>
      </c>
      <c r="Z2" s="2" t="s">
        <v>46</v>
      </c>
      <c r="AA2" s="3" t="s">
        <v>48</v>
      </c>
    </row>
    <row r="3" spans="1:27" x14ac:dyDescent="0.25">
      <c r="A3" s="4"/>
      <c r="B3" t="s">
        <v>17</v>
      </c>
      <c r="C3" s="5">
        <v>100</v>
      </c>
      <c r="E3" s="4"/>
      <c r="F3" t="s">
        <v>17</v>
      </c>
      <c r="G3" s="5">
        <v>125</v>
      </c>
      <c r="I3" s="4"/>
      <c r="J3" t="s">
        <v>17</v>
      </c>
      <c r="K3" s="5">
        <v>140</v>
      </c>
      <c r="M3" s="4"/>
      <c r="N3" t="s">
        <v>17</v>
      </c>
      <c r="O3" s="5">
        <v>125</v>
      </c>
      <c r="Q3" s="4"/>
      <c r="R3" t="s">
        <v>17</v>
      </c>
      <c r="S3" s="5">
        <v>125</v>
      </c>
      <c r="U3" s="4"/>
      <c r="V3" t="s">
        <v>17</v>
      </c>
      <c r="W3" s="5">
        <v>125</v>
      </c>
      <c r="Y3" s="4"/>
      <c r="Z3" t="s">
        <v>17</v>
      </c>
      <c r="AA3" s="5">
        <v>80</v>
      </c>
    </row>
    <row r="4" spans="1:27" x14ac:dyDescent="0.25">
      <c r="A4" s="4"/>
      <c r="B4" t="s">
        <v>11</v>
      </c>
      <c r="C4" s="5">
        <v>15</v>
      </c>
      <c r="E4" s="4"/>
      <c r="F4" t="s">
        <v>11</v>
      </c>
      <c r="G4" s="5">
        <v>60</v>
      </c>
      <c r="I4" s="4"/>
      <c r="J4" t="s">
        <v>11</v>
      </c>
      <c r="K4" s="5">
        <v>75</v>
      </c>
      <c r="M4" s="4"/>
      <c r="N4" t="s">
        <v>11</v>
      </c>
      <c r="O4" s="5">
        <v>10</v>
      </c>
      <c r="Q4" s="4"/>
      <c r="R4" t="s">
        <v>11</v>
      </c>
      <c r="S4" s="5">
        <v>10</v>
      </c>
      <c r="U4" s="4"/>
      <c r="V4" t="s">
        <v>11</v>
      </c>
      <c r="W4" s="5">
        <v>15</v>
      </c>
      <c r="Y4" s="4"/>
      <c r="Z4" t="s">
        <v>11</v>
      </c>
      <c r="AA4" s="5">
        <v>20</v>
      </c>
    </row>
    <row r="5" spans="1:27" x14ac:dyDescent="0.25">
      <c r="A5" s="4"/>
      <c r="B5" t="s">
        <v>12</v>
      </c>
      <c r="C5" s="5">
        <v>20</v>
      </c>
      <c r="E5" s="4"/>
      <c r="F5" t="s">
        <v>12</v>
      </c>
      <c r="G5" s="5">
        <v>20</v>
      </c>
      <c r="I5" s="4"/>
      <c r="J5" t="s">
        <v>12</v>
      </c>
      <c r="K5" s="5">
        <v>25</v>
      </c>
      <c r="M5" s="4"/>
      <c r="N5" t="s">
        <v>12</v>
      </c>
      <c r="O5" s="5">
        <v>10</v>
      </c>
      <c r="Q5" s="4"/>
      <c r="R5" t="s">
        <v>12</v>
      </c>
      <c r="S5" s="5">
        <v>10</v>
      </c>
      <c r="U5" s="4"/>
      <c r="V5" t="s">
        <v>12</v>
      </c>
      <c r="W5" s="5">
        <v>20</v>
      </c>
      <c r="Y5" s="4"/>
      <c r="Z5" t="s">
        <v>12</v>
      </c>
      <c r="AA5" s="5">
        <v>10</v>
      </c>
    </row>
    <row r="6" spans="1:27" x14ac:dyDescent="0.25">
      <c r="A6" s="4"/>
      <c r="B6" t="s">
        <v>23</v>
      </c>
      <c r="C6" s="5">
        <v>15</v>
      </c>
      <c r="E6" s="4"/>
      <c r="F6" t="s">
        <v>23</v>
      </c>
      <c r="G6" s="5">
        <v>15</v>
      </c>
      <c r="I6" s="4"/>
      <c r="J6" t="s">
        <v>23</v>
      </c>
      <c r="K6" s="5">
        <v>5</v>
      </c>
      <c r="M6" s="4"/>
      <c r="N6" t="s">
        <v>23</v>
      </c>
      <c r="O6" s="5">
        <v>7</v>
      </c>
      <c r="Q6" s="4"/>
      <c r="R6" t="s">
        <v>23</v>
      </c>
      <c r="S6" s="5">
        <v>7</v>
      </c>
      <c r="U6" s="4"/>
      <c r="V6" t="s">
        <v>23</v>
      </c>
      <c r="W6" s="5">
        <v>15</v>
      </c>
      <c r="Y6" s="4"/>
      <c r="Z6" t="s">
        <v>23</v>
      </c>
      <c r="AA6" s="5">
        <v>15</v>
      </c>
    </row>
    <row r="7" spans="1:27" x14ac:dyDescent="0.25">
      <c r="A7" s="4"/>
      <c r="B7" t="s">
        <v>35</v>
      </c>
      <c r="C7" s="5" t="s">
        <v>37</v>
      </c>
      <c r="E7" s="4"/>
      <c r="F7" t="s">
        <v>35</v>
      </c>
      <c r="G7" s="5" t="s">
        <v>38</v>
      </c>
      <c r="I7" s="4"/>
      <c r="J7" t="s">
        <v>35</v>
      </c>
      <c r="K7" s="5" t="s">
        <v>38</v>
      </c>
      <c r="M7" s="4"/>
      <c r="N7" t="s">
        <v>35</v>
      </c>
      <c r="O7" s="5" t="s">
        <v>37</v>
      </c>
      <c r="Q7" s="4"/>
      <c r="R7" t="s">
        <v>35</v>
      </c>
      <c r="S7" s="5" t="s">
        <v>37</v>
      </c>
      <c r="U7" s="4"/>
      <c r="V7" t="s">
        <v>35</v>
      </c>
      <c r="W7" s="5" t="s">
        <v>38</v>
      </c>
      <c r="Y7" s="4"/>
      <c r="Z7" t="s">
        <v>35</v>
      </c>
      <c r="AA7" s="5" t="s">
        <v>37</v>
      </c>
    </row>
    <row r="8" spans="1:27" x14ac:dyDescent="0.25">
      <c r="A8" s="4"/>
      <c r="B8" t="s">
        <v>36</v>
      </c>
      <c r="C8" s="5" t="s">
        <v>38</v>
      </c>
      <c r="E8" s="4"/>
      <c r="F8" t="s">
        <v>36</v>
      </c>
      <c r="G8" s="5" t="s">
        <v>37</v>
      </c>
      <c r="I8" s="4"/>
      <c r="J8" t="s">
        <v>36</v>
      </c>
      <c r="K8" s="5" t="s">
        <v>37</v>
      </c>
      <c r="M8" s="4"/>
      <c r="N8" t="s">
        <v>36</v>
      </c>
      <c r="O8" s="5" t="s">
        <v>38</v>
      </c>
      <c r="Q8" s="4"/>
      <c r="R8" t="s">
        <v>36</v>
      </c>
      <c r="S8" s="5" t="s">
        <v>38</v>
      </c>
      <c r="U8" s="4"/>
      <c r="V8" t="s">
        <v>36</v>
      </c>
      <c r="W8" s="5" t="s">
        <v>37</v>
      </c>
      <c r="Y8" s="4"/>
      <c r="Z8" t="s">
        <v>36</v>
      </c>
      <c r="AA8" s="5" t="s">
        <v>38</v>
      </c>
    </row>
    <row r="9" spans="1:27" x14ac:dyDescent="0.25">
      <c r="A9" s="4"/>
      <c r="C9" s="5"/>
      <c r="E9" s="4"/>
      <c r="G9" s="5"/>
      <c r="I9" s="4"/>
      <c r="K9" s="5"/>
      <c r="M9" s="4"/>
      <c r="O9" s="5"/>
      <c r="Q9" s="4"/>
      <c r="S9" s="5"/>
      <c r="U9" s="4"/>
      <c r="W9" s="5"/>
      <c r="Y9" s="4"/>
      <c r="AA9" s="5"/>
    </row>
    <row r="10" spans="1:27" x14ac:dyDescent="0.25">
      <c r="A10" s="4" t="s">
        <v>21</v>
      </c>
      <c r="B10">
        <v>100.38</v>
      </c>
      <c r="C10" s="5" t="s">
        <v>21</v>
      </c>
      <c r="E10" s="4" t="s">
        <v>21</v>
      </c>
      <c r="F10">
        <v>129.04</v>
      </c>
      <c r="G10" s="5" t="s">
        <v>21</v>
      </c>
      <c r="I10" s="4" t="s">
        <v>21</v>
      </c>
      <c r="J10">
        <v>143.29</v>
      </c>
      <c r="K10" s="5" t="s">
        <v>21</v>
      </c>
      <c r="M10" s="4" t="s">
        <v>21</v>
      </c>
      <c r="N10">
        <v>122.89</v>
      </c>
      <c r="O10" s="5" t="s">
        <v>21</v>
      </c>
      <c r="Q10" s="4" t="s">
        <v>21</v>
      </c>
      <c r="R10">
        <v>121.1</v>
      </c>
      <c r="S10" s="5" t="s">
        <v>21</v>
      </c>
      <c r="U10" s="4" t="s">
        <v>21</v>
      </c>
      <c r="V10">
        <v>123.96</v>
      </c>
      <c r="W10" s="5" t="s">
        <v>21</v>
      </c>
      <c r="Y10" s="4" t="s">
        <v>21</v>
      </c>
      <c r="Z10">
        <v>79.81</v>
      </c>
      <c r="AA10" s="5" t="s">
        <v>21</v>
      </c>
    </row>
    <row r="11" spans="1:27" x14ac:dyDescent="0.25">
      <c r="A11" s="4" t="s">
        <v>18</v>
      </c>
      <c r="B11">
        <v>6.8869999999999996</v>
      </c>
      <c r="C11" s="5" t="s">
        <v>25</v>
      </c>
      <c r="E11" s="4" t="s">
        <v>18</v>
      </c>
      <c r="F11">
        <v>8.3710000000000004</v>
      </c>
      <c r="G11" s="5" t="s">
        <v>25</v>
      </c>
      <c r="I11" s="4" t="s">
        <v>18</v>
      </c>
      <c r="J11">
        <v>8.9420000000000002</v>
      </c>
      <c r="K11" s="5" t="s">
        <v>25</v>
      </c>
      <c r="M11" s="4" t="s">
        <v>18</v>
      </c>
      <c r="N11">
        <v>7.8490000000000002</v>
      </c>
      <c r="O11" s="5" t="s">
        <v>25</v>
      </c>
      <c r="Q11" s="4" t="s">
        <v>18</v>
      </c>
      <c r="R11">
        <v>7.8570000000000002</v>
      </c>
      <c r="S11" s="5" t="s">
        <v>25</v>
      </c>
      <c r="U11" s="4" t="s">
        <v>18</v>
      </c>
      <c r="V11">
        <v>7.9530000000000003</v>
      </c>
      <c r="W11" s="5" t="s">
        <v>25</v>
      </c>
      <c r="Y11" s="4" t="s">
        <v>18</v>
      </c>
      <c r="Z11">
        <v>5.7370000000000001</v>
      </c>
      <c r="AA11" s="5" t="s">
        <v>25</v>
      </c>
    </row>
    <row r="12" spans="1:27" x14ac:dyDescent="0.25">
      <c r="A12" s="4" t="s">
        <v>19</v>
      </c>
      <c r="B12">
        <v>10.829000000000001</v>
      </c>
      <c r="C12" s="5" t="s">
        <v>26</v>
      </c>
      <c r="E12" s="4" t="s">
        <v>19</v>
      </c>
      <c r="F12" s="9" t="s">
        <v>44</v>
      </c>
      <c r="G12" s="5" t="s">
        <v>26</v>
      </c>
      <c r="I12" s="4" t="s">
        <v>19</v>
      </c>
      <c r="J12" s="9" t="s">
        <v>44</v>
      </c>
      <c r="K12" s="5" t="s">
        <v>26</v>
      </c>
      <c r="M12" s="4" t="s">
        <v>19</v>
      </c>
      <c r="N12">
        <v>9.8830799999999996</v>
      </c>
      <c r="O12" s="5" t="s">
        <v>26</v>
      </c>
      <c r="Q12" s="4" t="s">
        <v>19</v>
      </c>
      <c r="R12">
        <v>10.8568</v>
      </c>
      <c r="S12" s="5" t="s">
        <v>26</v>
      </c>
      <c r="U12" s="4" t="s">
        <v>19</v>
      </c>
      <c r="V12" s="9" t="s">
        <v>44</v>
      </c>
      <c r="W12" s="5" t="s">
        <v>26</v>
      </c>
      <c r="Y12" s="4" t="s">
        <v>19</v>
      </c>
      <c r="Z12">
        <v>10.9072</v>
      </c>
      <c r="AA12" s="5" t="s">
        <v>26</v>
      </c>
    </row>
    <row r="13" spans="1:27" x14ac:dyDescent="0.25">
      <c r="A13" s="4" t="s">
        <v>27</v>
      </c>
      <c r="B13">
        <v>1.3919999999999999</v>
      </c>
      <c r="C13" s="5" t="s">
        <v>22</v>
      </c>
      <c r="E13" s="4" t="s">
        <v>27</v>
      </c>
      <c r="F13">
        <v>9.2799999999999994</v>
      </c>
      <c r="G13" s="5" t="s">
        <v>22</v>
      </c>
      <c r="I13" s="4" t="s">
        <v>27</v>
      </c>
      <c r="J13">
        <v>6.008</v>
      </c>
      <c r="K13" s="5" t="s">
        <v>22</v>
      </c>
      <c r="M13" s="4" t="s">
        <v>27</v>
      </c>
      <c r="N13">
        <v>0.68899999999999995</v>
      </c>
      <c r="O13" s="5" t="s">
        <v>22</v>
      </c>
      <c r="Q13" s="4" t="s">
        <v>27</v>
      </c>
      <c r="R13">
        <v>0.55600000000000005</v>
      </c>
      <c r="S13" s="5" t="s">
        <v>22</v>
      </c>
      <c r="U13" s="4" t="s">
        <v>27</v>
      </c>
      <c r="V13">
        <v>3.839</v>
      </c>
      <c r="W13" s="5" t="s">
        <v>22</v>
      </c>
      <c r="Y13" s="4" t="s">
        <v>27</v>
      </c>
      <c r="Z13">
        <v>0.63100000000000001</v>
      </c>
      <c r="AA13" s="5" t="s">
        <v>22</v>
      </c>
    </row>
    <row r="14" spans="1:27" x14ac:dyDescent="0.25">
      <c r="A14" s="4" t="s">
        <v>28</v>
      </c>
      <c r="B14">
        <v>0.17100000000000001</v>
      </c>
      <c r="C14" s="5" t="s">
        <v>20</v>
      </c>
      <c r="E14" s="4" t="s">
        <v>28</v>
      </c>
      <c r="F14">
        <v>1.1100000000000001</v>
      </c>
      <c r="G14" s="5" t="s">
        <v>20</v>
      </c>
      <c r="I14" s="4" t="s">
        <v>28</v>
      </c>
      <c r="J14">
        <v>0.75</v>
      </c>
      <c r="K14" s="5" t="s">
        <v>20</v>
      </c>
      <c r="M14" s="4" t="s">
        <v>28</v>
      </c>
      <c r="N14">
        <v>6.6000000000000003E-2</v>
      </c>
      <c r="O14" s="5" t="s">
        <v>20</v>
      </c>
      <c r="Q14" s="4" t="s">
        <v>28</v>
      </c>
      <c r="R14">
        <v>6.0000000000000001E-3</v>
      </c>
      <c r="S14" s="5" t="s">
        <v>20</v>
      </c>
      <c r="U14" s="4" t="s">
        <v>28</v>
      </c>
      <c r="V14">
        <v>0.32100000000000001</v>
      </c>
      <c r="W14" s="5" t="s">
        <v>20</v>
      </c>
      <c r="Y14" s="4" t="s">
        <v>28</v>
      </c>
      <c r="Z14">
        <v>5.8000000000000003E-2</v>
      </c>
      <c r="AA14" s="5" t="s">
        <v>20</v>
      </c>
    </row>
    <row r="15" spans="1:27" x14ac:dyDescent="0.25">
      <c r="A15" s="4" t="s">
        <v>24</v>
      </c>
      <c r="B15">
        <v>14.748900000000001</v>
      </c>
      <c r="C15" s="5" t="s">
        <v>24</v>
      </c>
      <c r="E15" s="4" t="s">
        <v>24</v>
      </c>
      <c r="F15">
        <v>14.757400000000001</v>
      </c>
      <c r="G15" s="5" t="s">
        <v>24</v>
      </c>
      <c r="I15" s="4" t="s">
        <v>24</v>
      </c>
      <c r="J15">
        <v>4.9668900000000002</v>
      </c>
      <c r="K15" s="5" t="s">
        <v>24</v>
      </c>
      <c r="M15" s="4" t="s">
        <v>24</v>
      </c>
      <c r="N15" s="9" t="s">
        <v>44</v>
      </c>
      <c r="O15" s="5" t="s">
        <v>24</v>
      </c>
      <c r="Q15" s="4" t="s">
        <v>24</v>
      </c>
      <c r="R15" s="9" t="s">
        <v>44</v>
      </c>
      <c r="S15" s="5" t="s">
        <v>24</v>
      </c>
      <c r="U15" s="4" t="s">
        <v>24</v>
      </c>
      <c r="V15">
        <v>14.7658</v>
      </c>
      <c r="W15" s="5" t="s">
        <v>24</v>
      </c>
      <c r="Y15" s="4" t="s">
        <v>24</v>
      </c>
      <c r="Z15">
        <v>14.7813</v>
      </c>
      <c r="AA15" s="5" t="s">
        <v>24</v>
      </c>
    </row>
    <row r="16" spans="1:27" x14ac:dyDescent="0.25">
      <c r="A16" s="4"/>
      <c r="C16" s="5"/>
      <c r="E16" s="4"/>
      <c r="G16" s="5"/>
      <c r="I16" s="4"/>
      <c r="K16" s="5"/>
      <c r="M16" s="4"/>
      <c r="O16" s="5"/>
      <c r="Q16" s="4"/>
      <c r="S16" s="5"/>
      <c r="U16" s="4"/>
      <c r="W16" s="5"/>
      <c r="Y16" s="4"/>
      <c r="AA16" s="5"/>
    </row>
    <row r="17" spans="1:27" x14ac:dyDescent="0.25">
      <c r="A17" s="4" t="s">
        <v>45</v>
      </c>
      <c r="C17" s="5"/>
      <c r="E17" s="4" t="s">
        <v>45</v>
      </c>
      <c r="G17" s="5"/>
      <c r="I17" s="4" t="s">
        <v>45</v>
      </c>
      <c r="K17" s="5"/>
      <c r="M17" s="4" t="s">
        <v>45</v>
      </c>
      <c r="O17" s="5"/>
      <c r="Q17" s="4" t="s">
        <v>45</v>
      </c>
      <c r="S17" s="5"/>
      <c r="U17" s="4" t="s">
        <v>45</v>
      </c>
      <c r="W17" s="5"/>
      <c r="Y17" s="4" t="s">
        <v>45</v>
      </c>
      <c r="AA17" s="5"/>
    </row>
    <row r="18" spans="1:27" x14ac:dyDescent="0.25">
      <c r="A18" s="4" t="s">
        <v>7</v>
      </c>
      <c r="B18">
        <v>14</v>
      </c>
      <c r="C18" s="5" t="s">
        <v>39</v>
      </c>
      <c r="E18" s="4" t="s">
        <v>7</v>
      </c>
      <c r="F18">
        <v>24.7</v>
      </c>
      <c r="G18" s="5" t="s">
        <v>39</v>
      </c>
      <c r="I18" s="4" t="s">
        <v>7</v>
      </c>
      <c r="J18">
        <v>24.7</v>
      </c>
      <c r="K18" s="5" t="s">
        <v>39</v>
      </c>
      <c r="M18" s="4" t="s">
        <v>7</v>
      </c>
      <c r="N18">
        <v>14</v>
      </c>
      <c r="O18" s="5" t="s">
        <v>39</v>
      </c>
      <c r="Q18" s="4" t="s">
        <v>7</v>
      </c>
      <c r="R18">
        <v>14</v>
      </c>
      <c r="S18" s="5" t="s">
        <v>39</v>
      </c>
      <c r="U18" s="4" t="s">
        <v>7</v>
      </c>
      <c r="V18">
        <v>24.7</v>
      </c>
      <c r="W18" s="5" t="s">
        <v>39</v>
      </c>
      <c r="Y18" s="4" t="s">
        <v>7</v>
      </c>
      <c r="Z18">
        <v>14</v>
      </c>
      <c r="AA18" s="5" t="s">
        <v>39</v>
      </c>
    </row>
    <row r="19" spans="1:27" x14ac:dyDescent="0.25">
      <c r="A19" s="4" t="s">
        <v>8</v>
      </c>
      <c r="B19">
        <v>14</v>
      </c>
      <c r="C19" s="5"/>
      <c r="E19" s="4" t="s">
        <v>8</v>
      </c>
      <c r="F19">
        <v>3.3</v>
      </c>
      <c r="G19" s="5"/>
      <c r="I19" s="4" t="s">
        <v>8</v>
      </c>
      <c r="J19">
        <v>3.3</v>
      </c>
      <c r="K19" s="5"/>
      <c r="M19" s="4" t="s">
        <v>8</v>
      </c>
      <c r="N19">
        <v>14</v>
      </c>
      <c r="O19" s="5"/>
      <c r="Q19" s="4" t="s">
        <v>8</v>
      </c>
      <c r="R19">
        <v>14</v>
      </c>
      <c r="S19" s="5"/>
      <c r="U19" s="4" t="s">
        <v>8</v>
      </c>
      <c r="V19">
        <v>3.3</v>
      </c>
      <c r="W19" s="5"/>
      <c r="Y19" s="4" t="s">
        <v>8</v>
      </c>
      <c r="Z19">
        <v>14</v>
      </c>
      <c r="AA19" s="5"/>
    </row>
    <row r="20" spans="1:27" x14ac:dyDescent="0.25">
      <c r="A20" s="4" t="s">
        <v>9</v>
      </c>
      <c r="B20">
        <v>10.7</v>
      </c>
      <c r="C20" s="5"/>
      <c r="E20" s="4" t="s">
        <v>9</v>
      </c>
      <c r="F20">
        <v>10.7</v>
      </c>
      <c r="G20" s="5"/>
      <c r="I20" s="4" t="s">
        <v>9</v>
      </c>
      <c r="J20">
        <v>10.7</v>
      </c>
      <c r="K20" s="5"/>
      <c r="M20" s="4" t="s">
        <v>9</v>
      </c>
      <c r="N20">
        <v>10.7</v>
      </c>
      <c r="O20" s="5"/>
      <c r="Q20" s="4" t="s">
        <v>9</v>
      </c>
      <c r="R20">
        <v>10.7</v>
      </c>
      <c r="S20" s="5"/>
      <c r="U20" s="4" t="s">
        <v>9</v>
      </c>
      <c r="V20">
        <v>10.7</v>
      </c>
      <c r="W20" s="5"/>
      <c r="Y20" s="4" t="s">
        <v>9</v>
      </c>
      <c r="Z20">
        <v>10.7</v>
      </c>
      <c r="AA20" s="5"/>
    </row>
    <row r="21" spans="1:27" x14ac:dyDescent="0.25">
      <c r="A21" s="6" t="s">
        <v>10</v>
      </c>
      <c r="B21" s="7">
        <v>10.7</v>
      </c>
      <c r="C21" s="8"/>
      <c r="E21" s="6" t="s">
        <v>10</v>
      </c>
      <c r="F21" s="7">
        <v>10.7</v>
      </c>
      <c r="G21" s="8"/>
      <c r="I21" s="6" t="s">
        <v>10</v>
      </c>
      <c r="J21" s="7">
        <v>10.7</v>
      </c>
      <c r="K21" s="8"/>
      <c r="M21" s="6" t="s">
        <v>10</v>
      </c>
      <c r="N21" s="7">
        <v>10.7</v>
      </c>
      <c r="O21" s="8"/>
      <c r="Q21" s="6" t="s">
        <v>10</v>
      </c>
      <c r="R21" s="7">
        <v>10.7</v>
      </c>
      <c r="S21" s="8"/>
      <c r="U21" s="6" t="s">
        <v>10</v>
      </c>
      <c r="V21" s="7">
        <v>10.7</v>
      </c>
      <c r="W21" s="8"/>
      <c r="Y21" s="6" t="s">
        <v>10</v>
      </c>
      <c r="Z21" s="7">
        <v>10.7</v>
      </c>
      <c r="AA2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CP233"/>
  <sheetViews>
    <sheetView tabSelected="1" topLeftCell="A94" zoomScale="70" zoomScaleNormal="70" workbookViewId="0">
      <selection activeCell="B80" sqref="B80"/>
    </sheetView>
  </sheetViews>
  <sheetFormatPr defaultRowHeight="15" x14ac:dyDescent="0.25"/>
  <cols>
    <col min="1" max="1" width="24.28515625" style="13" customWidth="1"/>
    <col min="2" max="2" width="11.42578125" bestFit="1" customWidth="1"/>
    <col min="3" max="3" width="10.85546875" bestFit="1" customWidth="1"/>
    <col min="4" max="4" width="15.140625" bestFit="1" customWidth="1"/>
    <col min="5" max="5" width="14.140625" bestFit="1" customWidth="1"/>
    <col min="6" max="9" width="14.140625" customWidth="1"/>
    <col min="10" max="12" width="23.140625" customWidth="1"/>
    <col min="15" max="15" width="11.42578125" bestFit="1" customWidth="1"/>
    <col min="16" max="16" width="10.85546875" bestFit="1" customWidth="1"/>
    <col min="17" max="17" width="15.140625" bestFit="1" customWidth="1"/>
    <col min="18" max="18" width="14.140625" bestFit="1" customWidth="1"/>
    <col min="20" max="20" width="11.42578125" bestFit="1" customWidth="1"/>
    <col min="21" max="21" width="11.140625" bestFit="1" customWidth="1"/>
    <col min="22" max="22" width="15.140625" bestFit="1" customWidth="1"/>
    <col min="23" max="23" width="14.140625" bestFit="1" customWidth="1"/>
    <col min="24" max="24" width="14.140625" customWidth="1"/>
    <col min="26" max="26" width="11.42578125" bestFit="1" customWidth="1"/>
    <col min="27" max="27" width="10.85546875" bestFit="1" customWidth="1"/>
    <col min="28" max="28" width="15.140625" bestFit="1" customWidth="1"/>
    <col min="29" max="29" width="14.140625" bestFit="1" customWidth="1"/>
    <col min="31" max="31" width="11.42578125" bestFit="1" customWidth="1"/>
    <col min="32" max="32" width="10.85546875" bestFit="1" customWidth="1"/>
    <col min="33" max="33" width="15.140625" bestFit="1" customWidth="1"/>
    <col min="34" max="34" width="14.140625" bestFit="1" customWidth="1"/>
    <col min="36" max="36" width="11.42578125" bestFit="1" customWidth="1"/>
    <col min="37" max="37" width="10.85546875" bestFit="1" customWidth="1"/>
    <col min="38" max="38" width="15.140625" bestFit="1" customWidth="1"/>
    <col min="39" max="39" width="14.140625" bestFit="1" customWidth="1"/>
    <col min="41" max="41" width="11.42578125" bestFit="1" customWidth="1"/>
    <col min="42" max="42" width="12.42578125" bestFit="1" customWidth="1"/>
    <col min="43" max="43" width="15.140625" bestFit="1" customWidth="1"/>
    <col min="44" max="44" width="14.140625" bestFit="1" customWidth="1"/>
    <col min="51" max="51" width="17.5703125" customWidth="1"/>
  </cols>
  <sheetData>
    <row r="2" spans="2:52" x14ac:dyDescent="0.25">
      <c r="C2" s="1" t="s">
        <v>16</v>
      </c>
      <c r="D2" s="2" t="s">
        <v>46</v>
      </c>
      <c r="E2" s="3" t="s">
        <v>47</v>
      </c>
      <c r="P2" s="1" t="s">
        <v>29</v>
      </c>
      <c r="Q2" s="2" t="s">
        <v>46</v>
      </c>
      <c r="R2" s="3" t="s">
        <v>47</v>
      </c>
      <c r="U2" s="1" t="s">
        <v>41</v>
      </c>
      <c r="V2" s="2" t="s">
        <v>46</v>
      </c>
      <c r="W2" s="3" t="s">
        <v>47</v>
      </c>
      <c r="AA2" s="1" t="s">
        <v>34</v>
      </c>
      <c r="AB2" s="2" t="s">
        <v>46</v>
      </c>
      <c r="AC2" s="3" t="s">
        <v>47</v>
      </c>
      <c r="AF2" s="1" t="s">
        <v>42</v>
      </c>
      <c r="AG2" s="2" t="s">
        <v>46</v>
      </c>
      <c r="AH2" s="3" t="s">
        <v>47</v>
      </c>
      <c r="AK2" s="1" t="s">
        <v>32</v>
      </c>
      <c r="AL2" s="2" t="s">
        <v>46</v>
      </c>
      <c r="AM2" s="3" t="s">
        <v>47</v>
      </c>
      <c r="AP2" s="1" t="s">
        <v>33</v>
      </c>
      <c r="AQ2" s="2" t="s">
        <v>46</v>
      </c>
      <c r="AR2" s="3" t="s">
        <v>48</v>
      </c>
    </row>
    <row r="3" spans="2:52" x14ac:dyDescent="0.25">
      <c r="C3" s="4"/>
      <c r="D3" t="s">
        <v>17</v>
      </c>
      <c r="E3" s="14">
        <v>100</v>
      </c>
      <c r="P3" s="4"/>
      <c r="Q3" t="s">
        <v>17</v>
      </c>
      <c r="R3" s="14">
        <v>125</v>
      </c>
      <c r="U3" s="4"/>
      <c r="V3" t="s">
        <v>17</v>
      </c>
      <c r="W3" s="14">
        <v>125</v>
      </c>
      <c r="AA3" s="4"/>
      <c r="AB3" t="s">
        <v>17</v>
      </c>
      <c r="AC3" s="14">
        <v>140</v>
      </c>
      <c r="AF3" s="4"/>
      <c r="AG3" t="s">
        <v>17</v>
      </c>
      <c r="AH3" s="5">
        <v>125</v>
      </c>
      <c r="AK3" s="4"/>
      <c r="AL3" t="s">
        <v>17</v>
      </c>
      <c r="AM3" s="5">
        <v>125</v>
      </c>
      <c r="AP3" s="4"/>
      <c r="AQ3" t="s">
        <v>17</v>
      </c>
      <c r="AR3" s="5">
        <v>80</v>
      </c>
    </row>
    <row r="4" spans="2:52" x14ac:dyDescent="0.25">
      <c r="C4" s="4"/>
      <c r="D4" t="s">
        <v>11</v>
      </c>
      <c r="E4" s="5">
        <v>15</v>
      </c>
      <c r="P4" s="4"/>
      <c r="Q4" t="s">
        <v>11</v>
      </c>
      <c r="R4" s="5">
        <v>60</v>
      </c>
      <c r="U4" s="4"/>
      <c r="V4" t="s">
        <v>11</v>
      </c>
      <c r="W4" s="5">
        <v>10</v>
      </c>
      <c r="AA4" s="4"/>
      <c r="AB4" t="s">
        <v>11</v>
      </c>
      <c r="AC4" s="5">
        <v>75</v>
      </c>
      <c r="AF4" s="4"/>
      <c r="AG4" t="s">
        <v>11</v>
      </c>
      <c r="AH4" s="5">
        <v>10</v>
      </c>
      <c r="AK4" s="4"/>
      <c r="AL4" t="s">
        <v>11</v>
      </c>
      <c r="AM4" s="5">
        <v>15</v>
      </c>
      <c r="AP4" s="4"/>
      <c r="AQ4" t="s">
        <v>11</v>
      </c>
      <c r="AR4" s="5">
        <v>20</v>
      </c>
    </row>
    <row r="5" spans="2:52" x14ac:dyDescent="0.25">
      <c r="C5" s="4"/>
      <c r="D5" t="s">
        <v>12</v>
      </c>
      <c r="E5" s="5">
        <v>20</v>
      </c>
      <c r="P5" s="4"/>
      <c r="Q5" t="s">
        <v>12</v>
      </c>
      <c r="R5" s="5">
        <v>20</v>
      </c>
      <c r="U5" s="4"/>
      <c r="V5" t="s">
        <v>12</v>
      </c>
      <c r="W5" s="5">
        <v>10</v>
      </c>
      <c r="AA5" s="4"/>
      <c r="AB5" t="s">
        <v>12</v>
      </c>
      <c r="AC5" s="5">
        <v>25</v>
      </c>
      <c r="AF5" s="4"/>
      <c r="AG5" t="s">
        <v>12</v>
      </c>
      <c r="AH5" s="5">
        <v>10</v>
      </c>
      <c r="AK5" s="4"/>
      <c r="AL5" t="s">
        <v>12</v>
      </c>
      <c r="AM5" s="5">
        <v>20</v>
      </c>
      <c r="AP5" s="4"/>
      <c r="AQ5" t="s">
        <v>12</v>
      </c>
      <c r="AR5" s="5">
        <v>10</v>
      </c>
    </row>
    <row r="6" spans="2:52" x14ac:dyDescent="0.25">
      <c r="C6" s="4"/>
      <c r="D6" t="s">
        <v>23</v>
      </c>
      <c r="E6" s="5">
        <v>15</v>
      </c>
      <c r="P6" s="4"/>
      <c r="Q6" t="s">
        <v>23</v>
      </c>
      <c r="R6" s="5">
        <v>15</v>
      </c>
      <c r="U6" s="4"/>
      <c r="V6" t="s">
        <v>23</v>
      </c>
      <c r="W6" s="5">
        <v>7</v>
      </c>
      <c r="AA6" s="4"/>
      <c r="AB6" t="s">
        <v>23</v>
      </c>
      <c r="AC6" s="5">
        <v>5</v>
      </c>
      <c r="AF6" s="4"/>
      <c r="AG6" t="s">
        <v>23</v>
      </c>
      <c r="AH6" s="5">
        <v>7</v>
      </c>
      <c r="AK6" s="4"/>
      <c r="AL6" t="s">
        <v>23</v>
      </c>
      <c r="AM6" s="5">
        <v>15</v>
      </c>
      <c r="AP6" s="4"/>
      <c r="AQ6" t="s">
        <v>23</v>
      </c>
      <c r="AR6" s="5">
        <v>15</v>
      </c>
    </row>
    <row r="7" spans="2:52" x14ac:dyDescent="0.25">
      <c r="C7" s="4"/>
      <c r="D7" t="s">
        <v>35</v>
      </c>
      <c r="E7" s="14" t="s">
        <v>37</v>
      </c>
      <c r="P7" s="4"/>
      <c r="Q7" t="s">
        <v>35</v>
      </c>
      <c r="R7" s="14" t="s">
        <v>38</v>
      </c>
      <c r="U7" s="4"/>
      <c r="V7" t="s">
        <v>35</v>
      </c>
      <c r="W7" s="14" t="s">
        <v>37</v>
      </c>
      <c r="AA7" s="4"/>
      <c r="AB7" t="s">
        <v>35</v>
      </c>
      <c r="AC7" s="14" t="s">
        <v>38</v>
      </c>
      <c r="AF7" s="4"/>
      <c r="AG7" t="s">
        <v>35</v>
      </c>
      <c r="AH7" s="5" t="s">
        <v>37</v>
      </c>
      <c r="AK7" s="4"/>
      <c r="AL7" t="s">
        <v>35</v>
      </c>
      <c r="AM7" s="5" t="s">
        <v>38</v>
      </c>
      <c r="AP7" s="4"/>
      <c r="AQ7" t="s">
        <v>35</v>
      </c>
      <c r="AR7" s="5" t="s">
        <v>37</v>
      </c>
      <c r="AY7" s="15" t="s">
        <v>116</v>
      </c>
    </row>
    <row r="8" spans="2:52" x14ac:dyDescent="0.25">
      <c r="C8" s="4"/>
      <c r="D8" t="s">
        <v>36</v>
      </c>
      <c r="E8" s="5" t="s">
        <v>38</v>
      </c>
      <c r="P8" s="4"/>
      <c r="Q8" t="s">
        <v>36</v>
      </c>
      <c r="R8" s="5" t="s">
        <v>37</v>
      </c>
      <c r="U8" s="4"/>
      <c r="V8" t="s">
        <v>36</v>
      </c>
      <c r="W8" s="5" t="s">
        <v>38</v>
      </c>
      <c r="AA8" s="4"/>
      <c r="AB8" t="s">
        <v>36</v>
      </c>
      <c r="AC8" s="5" t="s">
        <v>37</v>
      </c>
      <c r="AF8" s="4"/>
      <c r="AG8" t="s">
        <v>36</v>
      </c>
      <c r="AH8" s="5" t="s">
        <v>38</v>
      </c>
      <c r="AK8" s="4"/>
      <c r="AL8" t="s">
        <v>36</v>
      </c>
      <c r="AM8" s="5" t="s">
        <v>37</v>
      </c>
      <c r="AP8" s="4"/>
      <c r="AQ8" t="s">
        <v>36</v>
      </c>
      <c r="AR8" s="5" t="s">
        <v>38</v>
      </c>
    </row>
    <row r="9" spans="2:52" x14ac:dyDescent="0.25">
      <c r="C9" s="4"/>
      <c r="E9" s="5"/>
      <c r="P9" s="24"/>
      <c r="R9" s="5"/>
      <c r="U9" s="24" t="s">
        <v>136</v>
      </c>
      <c r="W9" s="5"/>
      <c r="AA9" s="4"/>
      <c r="AC9" s="5"/>
      <c r="AF9" s="4"/>
      <c r="AH9" s="5"/>
      <c r="AK9" s="4"/>
      <c r="AM9" s="5"/>
      <c r="AP9" s="4"/>
      <c r="AR9" s="5"/>
      <c r="AY9" t="s">
        <v>121</v>
      </c>
      <c r="AZ9" t="s">
        <v>122</v>
      </c>
    </row>
    <row r="10" spans="2:52" x14ac:dyDescent="0.25">
      <c r="C10" s="4" t="s">
        <v>63</v>
      </c>
      <c r="E10" s="5"/>
      <c r="I10" t="s">
        <v>64</v>
      </c>
      <c r="P10" s="24"/>
      <c r="R10" s="5"/>
      <c r="U10" s="24" t="s">
        <v>137</v>
      </c>
      <c r="W10" s="5"/>
      <c r="AA10" s="4"/>
      <c r="AC10" s="5"/>
      <c r="AF10" s="4"/>
      <c r="AH10" s="5"/>
      <c r="AK10" s="4"/>
      <c r="AM10" s="5"/>
      <c r="AP10" s="4"/>
      <c r="AR10" s="5"/>
      <c r="AY10" s="15" t="s">
        <v>117</v>
      </c>
      <c r="AZ10" t="s">
        <v>123</v>
      </c>
    </row>
    <row r="11" spans="2:52" x14ac:dyDescent="0.25">
      <c r="C11" s="4" t="s">
        <v>49</v>
      </c>
      <c r="D11" s="15" t="s">
        <v>50</v>
      </c>
      <c r="E11" s="14" t="s">
        <v>51</v>
      </c>
      <c r="F11" s="15"/>
      <c r="G11" s="15"/>
      <c r="I11" s="4" t="s">
        <v>49</v>
      </c>
      <c r="J11" s="15" t="s">
        <v>50</v>
      </c>
      <c r="K11" s="15" t="s">
        <v>79</v>
      </c>
      <c r="L11" s="15"/>
      <c r="M11" s="14" t="s">
        <v>51</v>
      </c>
      <c r="N11" s="15"/>
      <c r="P11" s="4" t="s">
        <v>49</v>
      </c>
      <c r="Q11" t="s">
        <v>50</v>
      </c>
      <c r="R11" s="5" t="s">
        <v>72</v>
      </c>
      <c r="U11" s="4" t="s">
        <v>49</v>
      </c>
      <c r="V11" t="s">
        <v>50</v>
      </c>
      <c r="W11" t="s">
        <v>74</v>
      </c>
      <c r="X11" s="5" t="s">
        <v>51</v>
      </c>
      <c r="AA11" s="4" t="s">
        <v>49</v>
      </c>
      <c r="AB11" t="s">
        <v>50</v>
      </c>
      <c r="AC11" s="5" t="s">
        <v>51</v>
      </c>
      <c r="AF11" s="4" t="s">
        <v>49</v>
      </c>
      <c r="AG11" t="s">
        <v>50</v>
      </c>
      <c r="AH11" s="5" t="s">
        <v>51</v>
      </c>
      <c r="AK11" s="4" t="s">
        <v>49</v>
      </c>
      <c r="AL11" t="s">
        <v>50</v>
      </c>
      <c r="AM11" s="5" t="s">
        <v>51</v>
      </c>
      <c r="AP11" s="4" t="s">
        <v>49</v>
      </c>
      <c r="AQ11" t="s">
        <v>50</v>
      </c>
      <c r="AR11" s="5" t="s">
        <v>51</v>
      </c>
      <c r="AY11" t="s">
        <v>118</v>
      </c>
      <c r="AZ11">
        <v>0.39</v>
      </c>
    </row>
    <row r="12" spans="2:52" x14ac:dyDescent="0.25">
      <c r="C12" s="4"/>
      <c r="D12" s="9"/>
      <c r="E12" s="10" t="s">
        <v>54</v>
      </c>
      <c r="F12" s="9"/>
      <c r="G12" s="9"/>
      <c r="I12" s="4"/>
      <c r="K12" s="15" t="s">
        <v>80</v>
      </c>
      <c r="L12" s="15"/>
      <c r="M12" s="14" t="s">
        <v>81</v>
      </c>
      <c r="N12" s="9"/>
      <c r="P12" s="4"/>
      <c r="Q12" t="s">
        <v>67</v>
      </c>
      <c r="R12" s="5"/>
      <c r="U12" s="4"/>
      <c r="V12" t="s">
        <v>67</v>
      </c>
      <c r="W12" s="5"/>
      <c r="AA12" s="4"/>
      <c r="AB12" t="s">
        <v>67</v>
      </c>
      <c r="AC12" s="5"/>
      <c r="AF12" s="4"/>
      <c r="AH12" s="5"/>
      <c r="AK12" s="4"/>
      <c r="AM12" s="5"/>
      <c r="AP12" s="4"/>
      <c r="AR12" s="5"/>
      <c r="AY12" t="s">
        <v>29</v>
      </c>
      <c r="AZ12">
        <v>4.8499999999999996</v>
      </c>
    </row>
    <row r="13" spans="2:52" x14ac:dyDescent="0.25">
      <c r="B13">
        <f>B$45+C13</f>
        <v>99.6</v>
      </c>
      <c r="C13" s="4">
        <v>15</v>
      </c>
      <c r="D13" t="s">
        <v>61</v>
      </c>
      <c r="E13" s="5"/>
      <c r="H13">
        <f>H$45+I13</f>
        <v>15.06</v>
      </c>
      <c r="I13" s="4">
        <v>15</v>
      </c>
      <c r="J13" t="s">
        <v>67</v>
      </c>
      <c r="M13" s="5"/>
      <c r="O13">
        <f>O$45+P13</f>
        <v>15.06</v>
      </c>
      <c r="P13" s="4">
        <v>15</v>
      </c>
      <c r="R13" s="5"/>
      <c r="T13">
        <f>T$45+U13</f>
        <v>15.06</v>
      </c>
      <c r="U13" s="4">
        <v>15</v>
      </c>
      <c r="W13" s="5"/>
      <c r="Z13">
        <f>Z$45+AA13</f>
        <v>15.06</v>
      </c>
      <c r="AA13" s="4">
        <v>15</v>
      </c>
      <c r="AC13" s="5"/>
      <c r="AF13" s="4">
        <v>15</v>
      </c>
      <c r="AH13" s="5"/>
      <c r="AK13" s="4">
        <v>15</v>
      </c>
      <c r="AM13" s="5"/>
      <c r="AP13" s="4">
        <v>15</v>
      </c>
      <c r="AR13" s="5"/>
      <c r="AY13" t="s">
        <v>119</v>
      </c>
      <c r="AZ13">
        <v>6.4</v>
      </c>
    </row>
    <row r="14" spans="2:52" x14ac:dyDescent="0.25">
      <c r="B14">
        <f t="shared" ref="B14:B43" si="0">B$45+C14</f>
        <v>99.1</v>
      </c>
      <c r="C14" s="4">
        <v>14.5</v>
      </c>
      <c r="E14" s="5"/>
      <c r="H14">
        <f t="shared" ref="H14:H44" si="1">H$45+I14</f>
        <v>14.56</v>
      </c>
      <c r="I14" s="4">
        <v>14.5</v>
      </c>
      <c r="M14" s="5"/>
      <c r="O14">
        <f t="shared" ref="O14:O44" si="2">O$45+P14</f>
        <v>14.56</v>
      </c>
      <c r="P14" s="4">
        <v>14.5</v>
      </c>
      <c r="R14" s="5"/>
      <c r="T14">
        <f t="shared" ref="T14:T44" si="3">T$45+U14</f>
        <v>14.56</v>
      </c>
      <c r="U14" s="4">
        <v>14.5</v>
      </c>
      <c r="W14" s="5"/>
      <c r="Z14">
        <f t="shared" ref="Z14:Z44" si="4">Z$45+AA14</f>
        <v>14.56</v>
      </c>
      <c r="AA14" s="4">
        <v>14.5</v>
      </c>
      <c r="AC14" s="5"/>
      <c r="AF14" s="4">
        <v>14.5</v>
      </c>
      <c r="AH14" s="5"/>
      <c r="AK14" s="4">
        <v>14.5</v>
      </c>
      <c r="AM14" s="5"/>
      <c r="AP14" s="4">
        <v>14.5</v>
      </c>
      <c r="AR14" s="5"/>
      <c r="AY14" t="s">
        <v>120</v>
      </c>
      <c r="AZ14">
        <v>0.39</v>
      </c>
    </row>
    <row r="15" spans="2:52" x14ac:dyDescent="0.25">
      <c r="B15">
        <f t="shared" si="0"/>
        <v>98.6</v>
      </c>
      <c r="C15" s="4">
        <v>14</v>
      </c>
      <c r="E15" s="5"/>
      <c r="H15">
        <f t="shared" si="1"/>
        <v>14.06</v>
      </c>
      <c r="I15" s="4">
        <v>14</v>
      </c>
      <c r="M15" s="5"/>
      <c r="O15">
        <f t="shared" si="2"/>
        <v>14.06</v>
      </c>
      <c r="P15" s="4">
        <v>14</v>
      </c>
      <c r="R15" s="5"/>
      <c r="T15">
        <f t="shared" si="3"/>
        <v>14.06</v>
      </c>
      <c r="U15" s="4">
        <v>14</v>
      </c>
      <c r="W15" s="5"/>
      <c r="Z15">
        <f t="shared" si="4"/>
        <v>14.06</v>
      </c>
      <c r="AA15" s="4">
        <v>14</v>
      </c>
      <c r="AC15" s="5"/>
      <c r="AF15" s="4">
        <v>14</v>
      </c>
      <c r="AH15" s="5"/>
      <c r="AK15" s="4">
        <v>14</v>
      </c>
      <c r="AM15" s="5"/>
      <c r="AP15" s="4">
        <v>14</v>
      </c>
      <c r="AR15" s="5"/>
      <c r="AY15" t="s">
        <v>32</v>
      </c>
      <c r="AZ15">
        <v>2.86</v>
      </c>
    </row>
    <row r="16" spans="2:52" x14ac:dyDescent="0.25">
      <c r="B16">
        <f t="shared" si="0"/>
        <v>98.1</v>
      </c>
      <c r="C16" s="4">
        <v>13.5</v>
      </c>
      <c r="E16" s="5"/>
      <c r="H16">
        <f t="shared" si="1"/>
        <v>13.56</v>
      </c>
      <c r="I16" s="4">
        <v>13.5</v>
      </c>
      <c r="M16" s="5"/>
      <c r="O16">
        <f t="shared" si="2"/>
        <v>13.56</v>
      </c>
      <c r="P16" s="4">
        <v>13.5</v>
      </c>
      <c r="R16" s="5"/>
      <c r="T16">
        <f t="shared" si="3"/>
        <v>13.56</v>
      </c>
      <c r="U16" s="4">
        <v>13.5</v>
      </c>
      <c r="W16" s="5"/>
      <c r="Z16">
        <f t="shared" si="4"/>
        <v>13.56</v>
      </c>
      <c r="AA16" s="4">
        <v>13.5</v>
      </c>
      <c r="AC16" s="5"/>
      <c r="AF16" s="4">
        <v>13.5</v>
      </c>
      <c r="AH16" s="5"/>
      <c r="AK16" s="4">
        <v>13.5</v>
      </c>
      <c r="AM16" s="5"/>
      <c r="AP16" s="4">
        <v>13.5</v>
      </c>
      <c r="AR16" s="5"/>
    </row>
    <row r="17" spans="1:44" x14ac:dyDescent="0.25">
      <c r="B17">
        <f t="shared" si="0"/>
        <v>97.6</v>
      </c>
      <c r="C17" s="4">
        <v>13</v>
      </c>
      <c r="E17" s="5"/>
      <c r="H17">
        <f t="shared" si="1"/>
        <v>13.06</v>
      </c>
      <c r="I17" s="4">
        <v>13</v>
      </c>
      <c r="M17" s="5"/>
      <c r="O17">
        <f t="shared" si="2"/>
        <v>13.06</v>
      </c>
      <c r="P17" s="4">
        <v>13</v>
      </c>
      <c r="R17" s="5"/>
      <c r="T17">
        <f t="shared" si="3"/>
        <v>13.06</v>
      </c>
      <c r="U17" s="4">
        <v>13</v>
      </c>
      <c r="W17" s="5"/>
      <c r="Z17">
        <f t="shared" si="4"/>
        <v>13.06</v>
      </c>
      <c r="AA17" s="4">
        <v>13</v>
      </c>
      <c r="AC17" s="5"/>
      <c r="AF17" s="4">
        <v>13</v>
      </c>
      <c r="AH17" s="5"/>
      <c r="AK17" s="4">
        <v>13</v>
      </c>
      <c r="AM17" s="5"/>
      <c r="AP17" s="4">
        <v>13</v>
      </c>
      <c r="AR17" s="5"/>
    </row>
    <row r="18" spans="1:44" x14ac:dyDescent="0.25">
      <c r="B18">
        <f t="shared" si="0"/>
        <v>97.1</v>
      </c>
      <c r="C18" s="4">
        <v>12.5</v>
      </c>
      <c r="E18" s="5"/>
      <c r="H18">
        <f t="shared" si="1"/>
        <v>12.56</v>
      </c>
      <c r="I18" s="4">
        <v>12.5</v>
      </c>
      <c r="M18" s="5"/>
      <c r="O18">
        <f t="shared" si="2"/>
        <v>12.56</v>
      </c>
      <c r="P18" s="4">
        <v>12.5</v>
      </c>
      <c r="R18" s="5"/>
      <c r="T18">
        <f t="shared" si="3"/>
        <v>12.56</v>
      </c>
      <c r="U18" s="4">
        <v>12.5</v>
      </c>
      <c r="W18" s="5"/>
      <c r="Z18">
        <f t="shared" si="4"/>
        <v>12.56</v>
      </c>
      <c r="AA18" s="4">
        <v>12.5</v>
      </c>
      <c r="AC18" s="5"/>
      <c r="AF18" s="4">
        <v>12.5</v>
      </c>
      <c r="AH18" s="5"/>
      <c r="AK18" s="4">
        <v>12.5</v>
      </c>
      <c r="AM18" s="5"/>
      <c r="AP18" s="4">
        <v>12.5</v>
      </c>
      <c r="AR18" s="5"/>
    </row>
    <row r="19" spans="1:44" x14ac:dyDescent="0.25">
      <c r="B19">
        <f t="shared" si="0"/>
        <v>96.6</v>
      </c>
      <c r="C19" s="4">
        <v>12</v>
      </c>
      <c r="E19" s="5"/>
      <c r="H19">
        <f t="shared" si="1"/>
        <v>12.06</v>
      </c>
      <c r="I19" s="4">
        <v>12</v>
      </c>
      <c r="M19" s="5"/>
      <c r="O19">
        <f t="shared" si="2"/>
        <v>12.06</v>
      </c>
      <c r="P19" s="4">
        <v>12</v>
      </c>
      <c r="R19" s="5"/>
      <c r="T19">
        <f t="shared" si="3"/>
        <v>12.06</v>
      </c>
      <c r="U19" s="4">
        <v>12</v>
      </c>
      <c r="W19" s="5"/>
      <c r="Z19">
        <f t="shared" si="4"/>
        <v>12.06</v>
      </c>
      <c r="AA19" s="4">
        <v>12</v>
      </c>
      <c r="AC19" s="5"/>
      <c r="AF19" s="4">
        <v>12</v>
      </c>
      <c r="AH19" s="5"/>
      <c r="AK19" s="4">
        <v>12</v>
      </c>
      <c r="AM19" s="5"/>
      <c r="AP19" s="4">
        <v>12</v>
      </c>
      <c r="AR19" s="5"/>
    </row>
    <row r="20" spans="1:44" x14ac:dyDescent="0.25">
      <c r="B20">
        <f t="shared" si="0"/>
        <v>96.1</v>
      </c>
      <c r="C20" s="4">
        <v>11.5</v>
      </c>
      <c r="E20" s="5"/>
      <c r="H20">
        <f t="shared" si="1"/>
        <v>11.56</v>
      </c>
      <c r="I20" s="4">
        <v>11.5</v>
      </c>
      <c r="M20" s="5"/>
      <c r="O20">
        <f t="shared" si="2"/>
        <v>11.56</v>
      </c>
      <c r="P20" s="4">
        <v>11.5</v>
      </c>
      <c r="R20" s="5"/>
      <c r="T20">
        <f t="shared" si="3"/>
        <v>11.56</v>
      </c>
      <c r="U20" s="4">
        <v>11.5</v>
      </c>
      <c r="W20" s="5"/>
      <c r="Z20">
        <f t="shared" si="4"/>
        <v>11.56</v>
      </c>
      <c r="AA20" s="4">
        <v>11.5</v>
      </c>
      <c r="AC20" s="5"/>
      <c r="AF20" s="4">
        <v>11.5</v>
      </c>
      <c r="AH20" s="5"/>
      <c r="AK20" s="4">
        <v>11.5</v>
      </c>
      <c r="AM20" s="5"/>
      <c r="AP20" s="4">
        <v>11.5</v>
      </c>
      <c r="AR20" s="5"/>
    </row>
    <row r="21" spans="1:44" x14ac:dyDescent="0.25">
      <c r="B21">
        <f t="shared" si="0"/>
        <v>95.6</v>
      </c>
      <c r="C21" s="4">
        <v>11</v>
      </c>
      <c r="E21" s="5"/>
      <c r="H21">
        <f t="shared" si="1"/>
        <v>11.06</v>
      </c>
      <c r="I21" s="4">
        <v>11</v>
      </c>
      <c r="J21" t="s">
        <v>69</v>
      </c>
      <c r="M21" s="5"/>
      <c r="O21">
        <f t="shared" si="2"/>
        <v>11.06</v>
      </c>
      <c r="P21" s="4">
        <v>11</v>
      </c>
      <c r="R21" s="5"/>
      <c r="T21">
        <f t="shared" si="3"/>
        <v>11.06</v>
      </c>
      <c r="U21" s="4">
        <v>11</v>
      </c>
      <c r="W21" s="5"/>
      <c r="Z21">
        <f t="shared" si="4"/>
        <v>11.06</v>
      </c>
      <c r="AA21" s="4">
        <v>11</v>
      </c>
      <c r="AC21" s="5"/>
      <c r="AF21" s="4">
        <v>11</v>
      </c>
      <c r="AH21" s="5"/>
      <c r="AK21" s="4">
        <v>11</v>
      </c>
      <c r="AM21" s="5"/>
      <c r="AP21" s="4">
        <v>11</v>
      </c>
      <c r="AR21" s="5"/>
    </row>
    <row r="22" spans="1:44" x14ac:dyDescent="0.25">
      <c r="B22">
        <f t="shared" si="0"/>
        <v>95.1</v>
      </c>
      <c r="C22" s="4">
        <v>10.5</v>
      </c>
      <c r="E22" s="5"/>
      <c r="H22">
        <f t="shared" si="1"/>
        <v>10.56</v>
      </c>
      <c r="I22" s="4">
        <v>10.5</v>
      </c>
      <c r="M22" s="5"/>
      <c r="O22">
        <f t="shared" si="2"/>
        <v>10.56</v>
      </c>
      <c r="P22" s="4">
        <v>10.5</v>
      </c>
      <c r="R22" s="5"/>
      <c r="T22">
        <f t="shared" si="3"/>
        <v>10.56</v>
      </c>
      <c r="U22" s="4">
        <v>10.5</v>
      </c>
      <c r="V22">
        <v>186</v>
      </c>
      <c r="W22" s="5">
        <v>10.78</v>
      </c>
      <c r="Z22">
        <f t="shared" si="4"/>
        <v>10.56</v>
      </c>
      <c r="AA22" s="4">
        <v>10.5</v>
      </c>
      <c r="AB22">
        <v>1687</v>
      </c>
      <c r="AC22" s="5">
        <v>8.4770000000000003</v>
      </c>
      <c r="AF22" s="4">
        <v>10.5</v>
      </c>
      <c r="AH22" s="5"/>
      <c r="AK22" s="4">
        <v>10.5</v>
      </c>
      <c r="AM22" s="5"/>
      <c r="AP22" s="4">
        <v>10.5</v>
      </c>
      <c r="AR22" s="5"/>
    </row>
    <row r="23" spans="1:44" x14ac:dyDescent="0.25">
      <c r="B23">
        <f t="shared" si="0"/>
        <v>94.6</v>
      </c>
      <c r="C23" s="4">
        <v>10</v>
      </c>
      <c r="D23" t="s">
        <v>60</v>
      </c>
      <c r="E23" s="5"/>
      <c r="H23">
        <f t="shared" si="1"/>
        <v>10.06</v>
      </c>
      <c r="I23" s="4">
        <v>10</v>
      </c>
      <c r="J23">
        <v>67.61</v>
      </c>
      <c r="K23" s="17">
        <f>J23*Head!$K$12/1000</f>
        <v>4.5840706764572279E-3</v>
      </c>
      <c r="L23" s="17"/>
      <c r="M23" s="5">
        <v>30.54</v>
      </c>
      <c r="O23">
        <f t="shared" si="2"/>
        <v>10.06</v>
      </c>
      <c r="P23" s="4">
        <v>10</v>
      </c>
      <c r="Q23">
        <v>1008</v>
      </c>
      <c r="R23" s="5">
        <v>7.891</v>
      </c>
      <c r="T23">
        <f t="shared" si="3"/>
        <v>10.06</v>
      </c>
      <c r="U23" s="4">
        <v>10</v>
      </c>
      <c r="V23">
        <v>196.3</v>
      </c>
      <c r="W23" s="5">
        <v>10.67</v>
      </c>
      <c r="Z23">
        <f t="shared" si="4"/>
        <v>10.06</v>
      </c>
      <c r="AA23" s="4">
        <v>10</v>
      </c>
      <c r="AB23">
        <v>1695</v>
      </c>
      <c r="AC23" s="5">
        <v>8.5510000000000002</v>
      </c>
      <c r="AF23" s="4">
        <v>10</v>
      </c>
      <c r="AH23" s="5"/>
      <c r="AK23" s="4">
        <v>10</v>
      </c>
      <c r="AM23" s="5"/>
      <c r="AP23" s="4">
        <v>10</v>
      </c>
      <c r="AR23" s="5"/>
    </row>
    <row r="24" spans="1:44" x14ac:dyDescent="0.25">
      <c r="B24">
        <f t="shared" si="0"/>
        <v>94.1</v>
      </c>
      <c r="C24" s="4">
        <v>9.5</v>
      </c>
      <c r="D24">
        <v>251.7</v>
      </c>
      <c r="E24" s="5"/>
      <c r="H24">
        <f t="shared" si="1"/>
        <v>9.56</v>
      </c>
      <c r="I24" s="4">
        <v>9.5</v>
      </c>
      <c r="K24" s="17"/>
      <c r="L24" s="17"/>
      <c r="M24" s="5"/>
      <c r="O24">
        <f t="shared" si="2"/>
        <v>9.56</v>
      </c>
      <c r="P24" s="4">
        <v>9.5</v>
      </c>
      <c r="R24" s="5"/>
      <c r="T24">
        <f t="shared" si="3"/>
        <v>9.56</v>
      </c>
      <c r="U24" s="4">
        <v>9.5</v>
      </c>
      <c r="W24" s="5"/>
      <c r="Z24">
        <f t="shared" si="4"/>
        <v>9.56</v>
      </c>
      <c r="AA24" s="4">
        <v>9.5</v>
      </c>
      <c r="AC24" s="5"/>
      <c r="AF24" s="4">
        <v>9.5</v>
      </c>
      <c r="AH24" s="5"/>
      <c r="AK24" s="4">
        <v>9.5</v>
      </c>
      <c r="AM24" s="5"/>
      <c r="AP24" s="4">
        <v>9.5</v>
      </c>
      <c r="AR24" s="5"/>
    </row>
    <row r="25" spans="1:44" x14ac:dyDescent="0.25">
      <c r="B25">
        <f t="shared" si="0"/>
        <v>93.6</v>
      </c>
      <c r="C25" s="4">
        <v>9</v>
      </c>
      <c r="D25">
        <v>202.8</v>
      </c>
      <c r="E25" s="5">
        <v>9</v>
      </c>
      <c r="H25">
        <f t="shared" si="1"/>
        <v>9.06</v>
      </c>
      <c r="I25" s="4">
        <v>9</v>
      </c>
      <c r="J25">
        <v>79.31</v>
      </c>
      <c r="K25" s="17">
        <f>J25*Head!$K$12/1000</f>
        <v>5.377350175267308E-3</v>
      </c>
      <c r="L25" s="17"/>
      <c r="M25" s="5">
        <v>22.48</v>
      </c>
      <c r="O25">
        <f t="shared" si="2"/>
        <v>9.06</v>
      </c>
      <c r="P25" s="4">
        <v>9</v>
      </c>
      <c r="R25" s="5"/>
      <c r="T25">
        <f t="shared" si="3"/>
        <v>9.06</v>
      </c>
      <c r="U25" s="4">
        <v>9</v>
      </c>
      <c r="V25">
        <v>221.6</v>
      </c>
      <c r="W25" s="5">
        <v>10.680999999999999</v>
      </c>
      <c r="Z25">
        <f t="shared" si="4"/>
        <v>9.06</v>
      </c>
      <c r="AA25" s="4">
        <v>9</v>
      </c>
      <c r="AC25" s="5"/>
      <c r="AF25" s="4">
        <v>9</v>
      </c>
      <c r="AH25" s="5"/>
      <c r="AK25" s="4">
        <v>9</v>
      </c>
      <c r="AM25" s="5"/>
      <c r="AP25" s="4">
        <v>9</v>
      </c>
      <c r="AR25" s="5"/>
    </row>
    <row r="26" spans="1:44" x14ac:dyDescent="0.25">
      <c r="B26">
        <f t="shared" si="0"/>
        <v>93.35</v>
      </c>
      <c r="C26" s="4">
        <v>8.75</v>
      </c>
      <c r="D26">
        <v>367.3</v>
      </c>
      <c r="E26" s="5"/>
      <c r="H26">
        <f t="shared" si="1"/>
        <v>8.81</v>
      </c>
      <c r="I26" s="4">
        <v>8.75</v>
      </c>
      <c r="K26" s="17"/>
      <c r="L26" s="17"/>
      <c r="M26" s="5"/>
      <c r="O26">
        <f t="shared" si="2"/>
        <v>0.06</v>
      </c>
      <c r="P26" s="4"/>
      <c r="R26" s="5"/>
      <c r="T26">
        <f t="shared" si="3"/>
        <v>0.06</v>
      </c>
      <c r="U26" s="4"/>
      <c r="W26" s="5"/>
      <c r="Z26">
        <f t="shared" si="4"/>
        <v>0.06</v>
      </c>
      <c r="AA26" s="4"/>
      <c r="AC26" s="5"/>
      <c r="AF26" s="4"/>
      <c r="AH26" s="5"/>
      <c r="AK26" s="4"/>
      <c r="AM26" s="5"/>
      <c r="AP26" s="4"/>
      <c r="AR26" s="5"/>
    </row>
    <row r="27" spans="1:44" x14ac:dyDescent="0.25">
      <c r="A27" s="13" t="e">
        <f>A$45+C27</f>
        <v>#VALUE!</v>
      </c>
      <c r="B27">
        <f t="shared" si="0"/>
        <v>93.1</v>
      </c>
      <c r="C27" s="4">
        <v>8.5</v>
      </c>
      <c r="D27">
        <v>418</v>
      </c>
      <c r="E27" s="5">
        <v>17.25</v>
      </c>
      <c r="H27">
        <f t="shared" si="1"/>
        <v>8.56</v>
      </c>
      <c r="I27" s="4">
        <v>8.5</v>
      </c>
      <c r="J27">
        <v>93.62</v>
      </c>
      <c r="K27" s="17">
        <f>J27*Head!$K$12/1000</f>
        <v>6.3475920238119455E-3</v>
      </c>
      <c r="L27" s="17"/>
      <c r="M27" s="5">
        <v>19.600000000000001</v>
      </c>
      <c r="O27">
        <f t="shared" si="2"/>
        <v>8.56</v>
      </c>
      <c r="P27" s="4">
        <v>8.5</v>
      </c>
      <c r="R27" s="5"/>
      <c r="T27">
        <f t="shared" si="3"/>
        <v>8.56</v>
      </c>
      <c r="U27" s="4">
        <v>8.5</v>
      </c>
      <c r="W27" s="5"/>
      <c r="Z27">
        <f t="shared" si="4"/>
        <v>8.56</v>
      </c>
      <c r="AA27" s="4">
        <v>8.5</v>
      </c>
      <c r="AC27" s="5"/>
      <c r="AF27" s="4">
        <v>8.5</v>
      </c>
      <c r="AH27" s="5"/>
      <c r="AK27" s="4">
        <v>8.5</v>
      </c>
      <c r="AM27" s="5"/>
      <c r="AP27" s="4">
        <v>8.5</v>
      </c>
      <c r="AR27" s="5"/>
    </row>
    <row r="28" spans="1:44" x14ac:dyDescent="0.25">
      <c r="B28">
        <f t="shared" si="0"/>
        <v>92.85</v>
      </c>
      <c r="C28" s="4">
        <v>8.25</v>
      </c>
      <c r="D28">
        <v>434</v>
      </c>
      <c r="E28" s="5">
        <v>12.28</v>
      </c>
      <c r="H28">
        <f t="shared" si="1"/>
        <v>8.31</v>
      </c>
      <c r="I28" s="4">
        <v>8.25</v>
      </c>
      <c r="K28" s="17"/>
      <c r="L28" s="17"/>
      <c r="M28" s="5"/>
      <c r="O28">
        <f t="shared" si="2"/>
        <v>0.06</v>
      </c>
      <c r="P28" s="4"/>
      <c r="R28" s="5"/>
      <c r="T28">
        <f t="shared" si="3"/>
        <v>0.06</v>
      </c>
      <c r="U28" s="4"/>
      <c r="W28" s="5"/>
      <c r="Z28">
        <f t="shared" si="4"/>
        <v>0.06</v>
      </c>
      <c r="AA28" s="4"/>
      <c r="AC28" s="5"/>
      <c r="AF28" s="4"/>
      <c r="AH28" s="5"/>
      <c r="AK28" s="4"/>
      <c r="AM28" s="5"/>
      <c r="AP28" s="4"/>
      <c r="AR28" s="5"/>
    </row>
    <row r="29" spans="1:44" x14ac:dyDescent="0.25">
      <c r="B29">
        <f t="shared" si="0"/>
        <v>92.6</v>
      </c>
      <c r="C29" s="4">
        <v>8</v>
      </c>
      <c r="D29">
        <v>457.9</v>
      </c>
      <c r="E29" s="5">
        <v>9.2569999999999997</v>
      </c>
      <c r="H29">
        <f t="shared" si="1"/>
        <v>8.06</v>
      </c>
      <c r="I29" s="4">
        <v>8</v>
      </c>
      <c r="J29">
        <v>124</v>
      </c>
      <c r="K29" s="17">
        <f>J29*Head!$K$12/1000</f>
        <v>8.4074066540555555E-3</v>
      </c>
      <c r="L29" s="17"/>
      <c r="M29" s="5">
        <v>25.85</v>
      </c>
      <c r="O29">
        <f t="shared" si="2"/>
        <v>8.06</v>
      </c>
      <c r="P29" s="4">
        <v>8</v>
      </c>
      <c r="Q29">
        <v>1007</v>
      </c>
      <c r="R29" s="5">
        <v>8.17</v>
      </c>
      <c r="T29">
        <f t="shared" si="3"/>
        <v>8.06</v>
      </c>
      <c r="U29" s="4">
        <v>8</v>
      </c>
      <c r="V29">
        <v>329.4</v>
      </c>
      <c r="W29" s="5">
        <v>10.101000000000001</v>
      </c>
      <c r="Z29">
        <f t="shared" si="4"/>
        <v>8.06</v>
      </c>
      <c r="AA29" s="4">
        <v>8</v>
      </c>
      <c r="AB29">
        <v>1704</v>
      </c>
      <c r="AC29" s="5">
        <v>8.5920000000000005</v>
      </c>
      <c r="AF29" s="4">
        <v>8</v>
      </c>
      <c r="AH29" s="5"/>
      <c r="AK29" s="4">
        <v>8</v>
      </c>
      <c r="AM29" s="5"/>
      <c r="AP29" s="4">
        <v>8</v>
      </c>
      <c r="AR29" s="5"/>
    </row>
    <row r="30" spans="1:44" x14ac:dyDescent="0.25">
      <c r="B30">
        <f t="shared" si="0"/>
        <v>92.1</v>
      </c>
      <c r="C30" s="4">
        <v>7.5</v>
      </c>
      <c r="E30" s="5"/>
      <c r="H30">
        <f t="shared" si="1"/>
        <v>7.56</v>
      </c>
      <c r="I30" s="4">
        <v>7.5</v>
      </c>
      <c r="K30" s="17"/>
      <c r="L30" s="17"/>
      <c r="M30" s="5"/>
      <c r="O30">
        <f t="shared" si="2"/>
        <v>7.56</v>
      </c>
      <c r="P30" s="4">
        <v>7.5</v>
      </c>
      <c r="R30" s="5"/>
      <c r="T30">
        <f t="shared" si="3"/>
        <v>7.56</v>
      </c>
      <c r="U30" s="4">
        <v>7.5</v>
      </c>
      <c r="W30" s="5"/>
      <c r="Z30">
        <f t="shared" si="4"/>
        <v>7.56</v>
      </c>
      <c r="AA30" s="4">
        <v>7.5</v>
      </c>
      <c r="AC30" s="5"/>
      <c r="AF30" s="4">
        <v>7.5</v>
      </c>
      <c r="AH30" s="5"/>
      <c r="AK30" s="4">
        <v>7.5</v>
      </c>
      <c r="AM30" s="5"/>
      <c r="AP30" s="4">
        <v>7.5</v>
      </c>
      <c r="AR30" s="5"/>
    </row>
    <row r="31" spans="1:44" x14ac:dyDescent="0.25">
      <c r="B31">
        <f t="shared" si="0"/>
        <v>91.6</v>
      </c>
      <c r="C31" s="4">
        <v>7</v>
      </c>
      <c r="D31">
        <v>458.3</v>
      </c>
      <c r="E31" s="5">
        <v>10.09</v>
      </c>
      <c r="H31">
        <f t="shared" si="1"/>
        <v>7.06</v>
      </c>
      <c r="I31" s="4">
        <v>7</v>
      </c>
      <c r="J31">
        <v>200.7</v>
      </c>
      <c r="K31" s="17">
        <f>J31*Head!$K$12/1000</f>
        <v>1.3607794479588309E-2</v>
      </c>
      <c r="L31" s="17"/>
      <c r="M31" s="5">
        <v>16.11</v>
      </c>
      <c r="O31">
        <f t="shared" si="2"/>
        <v>7.06</v>
      </c>
      <c r="P31" s="4">
        <v>7</v>
      </c>
      <c r="R31" s="5"/>
      <c r="T31">
        <f t="shared" si="3"/>
        <v>7.06</v>
      </c>
      <c r="U31" s="4">
        <v>7</v>
      </c>
      <c r="V31">
        <v>501.2</v>
      </c>
      <c r="W31" s="5">
        <v>9.641</v>
      </c>
      <c r="Z31">
        <f t="shared" si="4"/>
        <v>7.06</v>
      </c>
      <c r="AA31" s="4">
        <v>7</v>
      </c>
      <c r="AC31" s="5"/>
      <c r="AF31" s="4">
        <v>7</v>
      </c>
      <c r="AH31" s="5"/>
      <c r="AK31" s="4">
        <v>7</v>
      </c>
      <c r="AM31" s="5"/>
      <c r="AP31" s="4">
        <v>7</v>
      </c>
      <c r="AR31" s="5"/>
    </row>
    <row r="32" spans="1:44" x14ac:dyDescent="0.25">
      <c r="B32">
        <f t="shared" si="0"/>
        <v>91.1</v>
      </c>
      <c r="C32" s="4">
        <v>6.5</v>
      </c>
      <c r="E32" s="5"/>
      <c r="H32">
        <f t="shared" si="1"/>
        <v>6.56</v>
      </c>
      <c r="I32" s="4">
        <v>6.5</v>
      </c>
      <c r="K32" s="17"/>
      <c r="L32" s="17"/>
      <c r="M32" s="5"/>
      <c r="O32">
        <f t="shared" si="2"/>
        <v>6.56</v>
      </c>
      <c r="P32" s="4">
        <v>6.5</v>
      </c>
      <c r="R32" s="5"/>
      <c r="T32">
        <f t="shared" si="3"/>
        <v>6.56</v>
      </c>
      <c r="U32" s="4">
        <v>6.5</v>
      </c>
      <c r="W32" s="5"/>
      <c r="Z32">
        <f t="shared" si="4"/>
        <v>6.56</v>
      </c>
      <c r="AA32" s="4">
        <v>6.5</v>
      </c>
      <c r="AC32" s="5"/>
      <c r="AF32" s="4">
        <v>6.5</v>
      </c>
      <c r="AH32" s="5"/>
      <c r="AK32" s="4">
        <v>6.5</v>
      </c>
      <c r="AM32" s="5"/>
      <c r="AP32" s="4">
        <v>6.5</v>
      </c>
      <c r="AR32" s="5"/>
    </row>
    <row r="33" spans="1:44" x14ac:dyDescent="0.25">
      <c r="B33">
        <f t="shared" si="0"/>
        <v>90.6</v>
      </c>
      <c r="C33" s="4">
        <v>6</v>
      </c>
      <c r="D33">
        <v>465.6</v>
      </c>
      <c r="E33" s="5">
        <v>9.5839999999999996</v>
      </c>
      <c r="H33">
        <f t="shared" si="1"/>
        <v>6.06</v>
      </c>
      <c r="I33" s="4">
        <v>6</v>
      </c>
      <c r="J33">
        <v>256.60000000000002</v>
      </c>
      <c r="K33" s="17">
        <f>J33*Head!$K$12/1000</f>
        <v>1.739790764056981E-2</v>
      </c>
      <c r="L33" s="17"/>
      <c r="M33" s="5">
        <v>16.75</v>
      </c>
      <c r="O33">
        <f t="shared" si="2"/>
        <v>6.06</v>
      </c>
      <c r="P33" s="4">
        <v>6</v>
      </c>
      <c r="Q33">
        <v>1029</v>
      </c>
      <c r="R33" s="5">
        <v>7.9050000000000002</v>
      </c>
      <c r="T33">
        <f t="shared" si="3"/>
        <v>6.06</v>
      </c>
      <c r="U33" s="4">
        <v>6</v>
      </c>
      <c r="V33">
        <v>628.9</v>
      </c>
      <c r="W33" s="5">
        <v>9.1460000000000008</v>
      </c>
      <c r="Z33">
        <f t="shared" si="4"/>
        <v>6.06</v>
      </c>
      <c r="AA33" s="4">
        <v>6</v>
      </c>
      <c r="AB33">
        <v>1720</v>
      </c>
      <c r="AC33" s="5">
        <v>8.6379999999999999</v>
      </c>
      <c r="AF33" s="4">
        <v>6</v>
      </c>
      <c r="AH33" s="5"/>
      <c r="AK33" s="4">
        <v>6</v>
      </c>
      <c r="AM33" s="5"/>
      <c r="AP33" s="4">
        <v>6</v>
      </c>
      <c r="AR33" s="5"/>
    </row>
    <row r="34" spans="1:44" x14ac:dyDescent="0.25">
      <c r="B34">
        <f t="shared" si="0"/>
        <v>90.1</v>
      </c>
      <c r="C34" s="4">
        <v>5.5</v>
      </c>
      <c r="E34" s="5"/>
      <c r="H34">
        <f t="shared" si="1"/>
        <v>5.56</v>
      </c>
      <c r="I34" s="4">
        <v>5.5</v>
      </c>
      <c r="K34" s="17"/>
      <c r="L34" s="17"/>
      <c r="M34" s="5"/>
      <c r="O34">
        <f t="shared" si="2"/>
        <v>5.56</v>
      </c>
      <c r="P34" s="4">
        <v>5.5</v>
      </c>
      <c r="R34" s="5"/>
      <c r="T34">
        <f t="shared" si="3"/>
        <v>5.56</v>
      </c>
      <c r="U34" s="4">
        <v>5.5</v>
      </c>
      <c r="W34" s="5"/>
      <c r="Z34">
        <f t="shared" si="4"/>
        <v>5.56</v>
      </c>
      <c r="AA34" s="4">
        <v>5.5</v>
      </c>
      <c r="AC34" s="5"/>
      <c r="AF34" s="4">
        <v>5.5</v>
      </c>
      <c r="AH34" s="5"/>
      <c r="AK34" s="4">
        <v>5.5</v>
      </c>
      <c r="AM34" s="5"/>
      <c r="AP34" s="4">
        <v>5.5</v>
      </c>
      <c r="AR34" s="5"/>
    </row>
    <row r="35" spans="1:44" x14ac:dyDescent="0.25">
      <c r="B35">
        <f t="shared" si="0"/>
        <v>89.6</v>
      </c>
      <c r="C35" s="4">
        <v>5</v>
      </c>
      <c r="D35">
        <v>462.1</v>
      </c>
      <c r="E35" s="5">
        <v>10.82</v>
      </c>
      <c r="H35">
        <f t="shared" si="1"/>
        <v>5.0599999999999996</v>
      </c>
      <c r="I35" s="4">
        <v>5</v>
      </c>
      <c r="J35">
        <v>312.7</v>
      </c>
      <c r="K35" s="17">
        <f>J35*Head!$K$12/1000</f>
        <v>2.1201581134864294E-2</v>
      </c>
      <c r="L35" s="17"/>
      <c r="M35" s="5">
        <v>14.16</v>
      </c>
      <c r="O35">
        <f t="shared" si="2"/>
        <v>5.0599999999999996</v>
      </c>
      <c r="P35" s="4">
        <v>5</v>
      </c>
      <c r="R35" s="5"/>
      <c r="T35">
        <f t="shared" si="3"/>
        <v>5.0599999999999996</v>
      </c>
      <c r="U35" s="4">
        <v>5</v>
      </c>
      <c r="W35" s="5"/>
      <c r="Z35">
        <f t="shared" si="4"/>
        <v>5.0599999999999996</v>
      </c>
      <c r="AA35" s="4">
        <v>5</v>
      </c>
      <c r="AC35" s="5"/>
      <c r="AF35" s="4">
        <v>5</v>
      </c>
      <c r="AH35" s="5"/>
      <c r="AK35" s="4">
        <v>5</v>
      </c>
      <c r="AM35" s="5"/>
      <c r="AP35" s="4">
        <v>5</v>
      </c>
      <c r="AR35" s="5"/>
    </row>
    <row r="36" spans="1:44" x14ac:dyDescent="0.25">
      <c r="B36">
        <f t="shared" si="0"/>
        <v>89.1</v>
      </c>
      <c r="C36" s="4">
        <v>4.5</v>
      </c>
      <c r="E36" s="5"/>
      <c r="H36">
        <f t="shared" si="1"/>
        <v>4.5599999999999996</v>
      </c>
      <c r="I36" s="4">
        <v>4.5</v>
      </c>
      <c r="K36" s="17"/>
      <c r="L36" s="17"/>
      <c r="M36" s="5"/>
      <c r="O36">
        <f t="shared" si="2"/>
        <v>4.5599999999999996</v>
      </c>
      <c r="P36" s="4">
        <v>4.5</v>
      </c>
      <c r="R36" s="5"/>
      <c r="T36">
        <f t="shared" si="3"/>
        <v>4.5599999999999996</v>
      </c>
      <c r="U36" s="4">
        <v>4.5</v>
      </c>
      <c r="W36" s="5"/>
      <c r="Z36">
        <f t="shared" si="4"/>
        <v>4.5599999999999996</v>
      </c>
      <c r="AA36" s="4">
        <v>4.5</v>
      </c>
      <c r="AC36" s="5"/>
      <c r="AF36" s="4">
        <v>4.5</v>
      </c>
      <c r="AH36" s="5"/>
      <c r="AK36" s="4">
        <v>4.5</v>
      </c>
      <c r="AM36" s="5"/>
      <c r="AP36" s="4">
        <v>4.5</v>
      </c>
      <c r="AR36" s="5"/>
    </row>
    <row r="37" spans="1:44" x14ac:dyDescent="0.25">
      <c r="A37" s="13" t="s">
        <v>58</v>
      </c>
      <c r="B37">
        <f t="shared" si="0"/>
        <v>88.6</v>
      </c>
      <c r="C37" s="4">
        <v>4</v>
      </c>
      <c r="D37">
        <v>453.4</v>
      </c>
      <c r="E37" s="5">
        <v>9.2569999999999997</v>
      </c>
      <c r="H37">
        <f t="shared" si="1"/>
        <v>4.0599999999999996</v>
      </c>
      <c r="I37" s="4">
        <v>4</v>
      </c>
      <c r="J37">
        <v>362</v>
      </c>
      <c r="K37" s="17">
        <f>J37*Head!$K$12/1000</f>
        <v>2.454420329651703E-2</v>
      </c>
      <c r="L37" s="17"/>
      <c r="M37" s="5">
        <v>13.04</v>
      </c>
      <c r="O37">
        <f t="shared" si="2"/>
        <v>4.0599999999999996</v>
      </c>
      <c r="P37" s="4">
        <v>4</v>
      </c>
      <c r="Q37">
        <v>1039</v>
      </c>
      <c r="R37" s="5">
        <v>8.1029999999999998</v>
      </c>
      <c r="T37">
        <f t="shared" si="3"/>
        <v>4.0599999999999996</v>
      </c>
      <c r="U37" s="4">
        <v>4</v>
      </c>
      <c r="V37">
        <v>835.6</v>
      </c>
      <c r="W37" s="5">
        <v>8.4339999999999993</v>
      </c>
      <c r="Z37">
        <f t="shared" si="4"/>
        <v>4.0599999999999996</v>
      </c>
      <c r="AA37" s="4">
        <v>4</v>
      </c>
      <c r="AB37">
        <v>1730</v>
      </c>
      <c r="AC37" s="5">
        <v>8.5820000000000007</v>
      </c>
      <c r="AF37" s="4">
        <v>4</v>
      </c>
      <c r="AH37" s="5"/>
      <c r="AK37" s="4">
        <v>4</v>
      </c>
      <c r="AM37" s="5"/>
      <c r="AP37" s="4">
        <v>4</v>
      </c>
      <c r="AR37" s="5"/>
    </row>
    <row r="38" spans="1:44" x14ac:dyDescent="0.25">
      <c r="A38" s="13" t="s">
        <v>57</v>
      </c>
      <c r="B38">
        <f t="shared" si="0"/>
        <v>88.1</v>
      </c>
      <c r="C38" s="4">
        <v>3.5</v>
      </c>
      <c r="E38" s="5"/>
      <c r="H38">
        <f t="shared" si="1"/>
        <v>3.56</v>
      </c>
      <c r="I38" s="4">
        <v>3.5</v>
      </c>
      <c r="K38" s="17"/>
      <c r="L38" s="17"/>
      <c r="M38" s="5"/>
      <c r="O38">
        <f t="shared" si="2"/>
        <v>3.56</v>
      </c>
      <c r="P38" s="4">
        <v>3.5</v>
      </c>
      <c r="R38" s="5"/>
      <c r="T38">
        <f t="shared" si="3"/>
        <v>3.56</v>
      </c>
      <c r="U38" s="4">
        <v>3.5</v>
      </c>
      <c r="W38" s="5"/>
      <c r="Z38">
        <f t="shared" si="4"/>
        <v>3.56</v>
      </c>
      <c r="AA38" s="4">
        <v>3.5</v>
      </c>
      <c r="AC38" s="5"/>
      <c r="AF38" s="4">
        <v>3.5</v>
      </c>
      <c r="AH38" s="5"/>
      <c r="AK38" s="4">
        <v>3.5</v>
      </c>
      <c r="AM38" s="5"/>
      <c r="AP38" s="4">
        <v>3.5</v>
      </c>
      <c r="AR38" s="5"/>
    </row>
    <row r="39" spans="1:44" x14ac:dyDescent="0.25">
      <c r="A39" s="13" t="s">
        <v>59</v>
      </c>
      <c r="B39">
        <f t="shared" si="0"/>
        <v>87.6</v>
      </c>
      <c r="C39" s="4">
        <v>3</v>
      </c>
      <c r="D39">
        <v>466</v>
      </c>
      <c r="E39" s="5">
        <v>9.5640000000000001</v>
      </c>
      <c r="H39">
        <f t="shared" si="1"/>
        <v>3.06</v>
      </c>
      <c r="I39" s="4">
        <v>3</v>
      </c>
      <c r="J39">
        <v>399.2</v>
      </c>
      <c r="K39" s="17">
        <f>J39*Head!$K$12/1000</f>
        <v>2.7066425292733693E-2</v>
      </c>
      <c r="L39" s="17"/>
      <c r="M39" s="5">
        <v>11.71</v>
      </c>
      <c r="O39">
        <f t="shared" si="2"/>
        <v>3.06</v>
      </c>
      <c r="P39" s="4">
        <v>3</v>
      </c>
      <c r="R39" s="5"/>
      <c r="T39">
        <f t="shared" si="3"/>
        <v>3.06</v>
      </c>
      <c r="U39" s="4">
        <v>3</v>
      </c>
      <c r="W39" s="5"/>
      <c r="Z39">
        <f t="shared" si="4"/>
        <v>3.06</v>
      </c>
      <c r="AA39" s="4">
        <v>3</v>
      </c>
      <c r="AC39" s="5"/>
      <c r="AF39" s="4">
        <v>3</v>
      </c>
      <c r="AH39" s="5"/>
      <c r="AK39" s="4">
        <v>3</v>
      </c>
      <c r="AM39" s="5"/>
      <c r="AP39" s="4">
        <v>3</v>
      </c>
      <c r="AR39" s="5"/>
    </row>
    <row r="40" spans="1:44" x14ac:dyDescent="0.25">
      <c r="B40">
        <f t="shared" si="0"/>
        <v>87.1</v>
      </c>
      <c r="C40" s="4">
        <v>2.5</v>
      </c>
      <c r="E40" s="5"/>
      <c r="H40">
        <f t="shared" si="1"/>
        <v>2.56</v>
      </c>
      <c r="I40" s="4">
        <v>2.5</v>
      </c>
      <c r="K40" s="17"/>
      <c r="L40" s="17"/>
      <c r="M40" s="5"/>
      <c r="O40">
        <f t="shared" si="2"/>
        <v>2.56</v>
      </c>
      <c r="P40" s="4">
        <v>2.5</v>
      </c>
      <c r="R40" s="5"/>
      <c r="T40">
        <f t="shared" si="3"/>
        <v>2.56</v>
      </c>
      <c r="U40" s="4">
        <v>2.5</v>
      </c>
      <c r="W40" s="5"/>
      <c r="Z40">
        <f t="shared" si="4"/>
        <v>2.56</v>
      </c>
      <c r="AA40" s="4">
        <v>2.5</v>
      </c>
      <c r="AC40" s="5"/>
      <c r="AF40" s="4">
        <v>2.5</v>
      </c>
      <c r="AH40" s="5"/>
      <c r="AK40" s="4">
        <v>2.5</v>
      </c>
      <c r="AM40" s="5"/>
      <c r="AP40" s="4">
        <v>2.5</v>
      </c>
      <c r="AR40" s="5"/>
    </row>
    <row r="41" spans="1:44" x14ac:dyDescent="0.25">
      <c r="B41">
        <f t="shared" si="0"/>
        <v>86.6</v>
      </c>
      <c r="C41" s="4">
        <v>2</v>
      </c>
      <c r="D41">
        <v>470</v>
      </c>
      <c r="E41" s="5">
        <v>8.52</v>
      </c>
      <c r="H41">
        <f t="shared" si="1"/>
        <v>2.06</v>
      </c>
      <c r="I41" s="4">
        <v>2</v>
      </c>
      <c r="J41">
        <v>430</v>
      </c>
      <c r="K41" s="17">
        <f>J41*Head!$K$12/1000</f>
        <v>2.9154716622934593E-2</v>
      </c>
      <c r="L41" s="17"/>
      <c r="M41" s="5">
        <v>11.61</v>
      </c>
      <c r="O41">
        <f t="shared" si="2"/>
        <v>2.06</v>
      </c>
      <c r="P41" s="4">
        <v>2</v>
      </c>
      <c r="Q41">
        <v>1024</v>
      </c>
      <c r="R41" s="5">
        <v>8.0440000000000005</v>
      </c>
      <c r="T41">
        <f t="shared" si="3"/>
        <v>2.06</v>
      </c>
      <c r="U41" s="4">
        <v>2</v>
      </c>
      <c r="V41">
        <v>961.8</v>
      </c>
      <c r="W41" s="5">
        <v>8.0489999999999995</v>
      </c>
      <c r="Z41">
        <f t="shared" si="4"/>
        <v>2.06</v>
      </c>
      <c r="AA41" s="4">
        <v>2</v>
      </c>
      <c r="AB41">
        <v>1727</v>
      </c>
      <c r="AC41" s="5">
        <v>8.6270000000000007</v>
      </c>
      <c r="AF41" s="4">
        <v>2</v>
      </c>
      <c r="AH41" s="5"/>
      <c r="AK41" s="4">
        <v>2</v>
      </c>
      <c r="AM41" s="5"/>
      <c r="AP41" s="4">
        <v>2</v>
      </c>
      <c r="AR41" s="5"/>
    </row>
    <row r="42" spans="1:44" x14ac:dyDescent="0.25">
      <c r="B42">
        <f t="shared" si="0"/>
        <v>86.1</v>
      </c>
      <c r="C42" s="4">
        <v>1.5</v>
      </c>
      <c r="E42" s="5"/>
      <c r="H42">
        <f t="shared" si="1"/>
        <v>1.56</v>
      </c>
      <c r="I42" s="4">
        <v>1.5</v>
      </c>
      <c r="K42" s="17"/>
      <c r="L42" s="17"/>
      <c r="M42" s="5"/>
      <c r="O42">
        <f t="shared" si="2"/>
        <v>1.56</v>
      </c>
      <c r="P42" s="4">
        <v>1.5</v>
      </c>
      <c r="R42" s="5"/>
      <c r="T42">
        <f t="shared" si="3"/>
        <v>1.56</v>
      </c>
      <c r="U42" s="4">
        <v>1.5</v>
      </c>
      <c r="W42" s="5"/>
      <c r="Z42">
        <f t="shared" si="4"/>
        <v>1.56</v>
      </c>
      <c r="AA42" s="4">
        <v>1.5</v>
      </c>
      <c r="AC42" s="5"/>
      <c r="AF42" s="4">
        <v>1.5</v>
      </c>
      <c r="AH42" s="5"/>
      <c r="AK42" s="4">
        <v>1.5</v>
      </c>
      <c r="AM42" s="5"/>
      <c r="AP42" s="4">
        <v>1.5</v>
      </c>
      <c r="AR42" s="5"/>
    </row>
    <row r="43" spans="1:44" x14ac:dyDescent="0.25">
      <c r="A43" t="s">
        <v>52</v>
      </c>
      <c r="B43">
        <f t="shared" si="0"/>
        <v>85.6</v>
      </c>
      <c r="C43" s="4">
        <v>1</v>
      </c>
      <c r="D43">
        <v>471.1</v>
      </c>
      <c r="E43" s="5">
        <v>8.4740000000000002</v>
      </c>
      <c r="G43" t="s">
        <v>52</v>
      </c>
      <c r="H43">
        <f t="shared" si="1"/>
        <v>1.06</v>
      </c>
      <c r="I43" s="4">
        <v>1</v>
      </c>
      <c r="J43">
        <v>443.3</v>
      </c>
      <c r="K43" s="17">
        <f>J43*Head!$K$12/1000</f>
        <v>3.005647878824862E-2</v>
      </c>
      <c r="L43" s="17"/>
      <c r="M43" s="5">
        <v>10.77</v>
      </c>
      <c r="O43">
        <f t="shared" si="2"/>
        <v>1.06</v>
      </c>
      <c r="P43" s="4">
        <v>1</v>
      </c>
      <c r="R43" s="5"/>
      <c r="T43">
        <f t="shared" si="3"/>
        <v>1.06</v>
      </c>
      <c r="U43" s="4">
        <v>1</v>
      </c>
      <c r="W43" s="5"/>
      <c r="Z43">
        <f t="shared" si="4"/>
        <v>1.06</v>
      </c>
      <c r="AA43" s="4">
        <v>1</v>
      </c>
      <c r="AC43" s="5"/>
      <c r="AE43" t="s">
        <v>52</v>
      </c>
      <c r="AF43" s="4">
        <v>1</v>
      </c>
      <c r="AH43" s="5"/>
      <c r="AJ43" t="s">
        <v>52</v>
      </c>
      <c r="AK43" s="4">
        <v>1</v>
      </c>
      <c r="AM43" s="5"/>
      <c r="AO43" t="s">
        <v>52</v>
      </c>
      <c r="AP43" s="4">
        <v>1</v>
      </c>
      <c r="AR43" s="5"/>
    </row>
    <row r="44" spans="1:44" x14ac:dyDescent="0.25">
      <c r="A44" t="s">
        <v>53</v>
      </c>
      <c r="B44">
        <f>B$45+C44</f>
        <v>85.1</v>
      </c>
      <c r="C44" s="4">
        <v>0.5</v>
      </c>
      <c r="E44" s="5"/>
      <c r="G44" t="s">
        <v>53</v>
      </c>
      <c r="H44">
        <f t="shared" si="1"/>
        <v>0.56000000000000005</v>
      </c>
      <c r="I44" s="4">
        <v>0.5</v>
      </c>
      <c r="K44" s="17"/>
      <c r="L44" s="17"/>
      <c r="M44" s="5"/>
      <c r="O44">
        <f t="shared" si="2"/>
        <v>0.56000000000000005</v>
      </c>
      <c r="P44" s="4">
        <v>0.5</v>
      </c>
      <c r="R44" s="5"/>
      <c r="T44">
        <f t="shared" si="3"/>
        <v>0.56000000000000005</v>
      </c>
      <c r="U44" s="4">
        <v>0.5</v>
      </c>
      <c r="W44" s="5"/>
      <c r="Z44">
        <f t="shared" si="4"/>
        <v>0.56000000000000005</v>
      </c>
      <c r="AA44" s="4">
        <v>0.5</v>
      </c>
      <c r="AC44" s="5"/>
      <c r="AE44" t="s">
        <v>53</v>
      </c>
      <c r="AF44" s="4">
        <v>0.5</v>
      </c>
      <c r="AH44" s="5"/>
      <c r="AJ44" t="s">
        <v>53</v>
      </c>
      <c r="AK44" s="4">
        <v>0.5</v>
      </c>
      <c r="AM44" s="5"/>
      <c r="AO44" t="s">
        <v>53</v>
      </c>
      <c r="AP44" s="4">
        <v>0.5</v>
      </c>
      <c r="AR44" s="5"/>
    </row>
    <row r="45" spans="1:44" x14ac:dyDescent="0.25">
      <c r="A45" s="13" t="s">
        <v>65</v>
      </c>
      <c r="B45" s="16">
        <v>84.6</v>
      </c>
      <c r="C45" s="4">
        <v>0</v>
      </c>
      <c r="D45">
        <v>469</v>
      </c>
      <c r="E45" s="5">
        <v>8.0340000000000007</v>
      </c>
      <c r="G45" t="s">
        <v>66</v>
      </c>
      <c r="H45">
        <v>0.06</v>
      </c>
      <c r="I45" s="4">
        <v>0</v>
      </c>
      <c r="J45">
        <v>447.2</v>
      </c>
      <c r="K45" s="17">
        <f>J45*Head!$K$12/1000</f>
        <v>3.0320905287851974E-2</v>
      </c>
      <c r="L45" s="17"/>
      <c r="M45" s="5">
        <v>11.57</v>
      </c>
      <c r="O45">
        <v>0.06</v>
      </c>
      <c r="P45" s="4">
        <v>0</v>
      </c>
      <c r="Q45">
        <v>1018</v>
      </c>
      <c r="R45" s="5">
        <v>8.06</v>
      </c>
      <c r="T45">
        <v>0.06</v>
      </c>
      <c r="U45" s="4">
        <v>0</v>
      </c>
      <c r="V45">
        <v>1002</v>
      </c>
      <c r="W45" s="5">
        <v>8.0449999999999999</v>
      </c>
      <c r="Z45">
        <v>0.06</v>
      </c>
      <c r="AA45" s="4">
        <v>0</v>
      </c>
      <c r="AB45">
        <v>1706</v>
      </c>
      <c r="AC45" s="5">
        <v>8.5389999999999997</v>
      </c>
      <c r="AE45">
        <v>0</v>
      </c>
      <c r="AF45" s="4">
        <v>0</v>
      </c>
      <c r="AH45" s="5"/>
      <c r="AJ45">
        <v>0</v>
      </c>
      <c r="AK45" s="4">
        <v>0</v>
      </c>
      <c r="AM45" s="5"/>
      <c r="AO45">
        <v>0</v>
      </c>
      <c r="AP45" s="4">
        <v>0</v>
      </c>
      <c r="AR45" s="5"/>
    </row>
    <row r="46" spans="1:44" x14ac:dyDescent="0.25">
      <c r="B46">
        <f>B45-0.5</f>
        <v>84.1</v>
      </c>
      <c r="C46" s="4">
        <v>-0.5</v>
      </c>
      <c r="E46" s="5"/>
      <c r="H46">
        <f>1000+I46+H$45</f>
        <v>999.56</v>
      </c>
      <c r="I46" s="4">
        <v>-0.5</v>
      </c>
      <c r="K46" s="17"/>
      <c r="L46" s="17"/>
      <c r="M46" s="5"/>
      <c r="O46">
        <f>1000+P46+O$45</f>
        <v>999.56</v>
      </c>
      <c r="P46" s="4">
        <v>-0.5</v>
      </c>
      <c r="R46" s="5"/>
      <c r="T46">
        <f>1000+U46+T$45</f>
        <v>999.56</v>
      </c>
      <c r="U46" s="4">
        <v>-0.5</v>
      </c>
      <c r="W46" s="5"/>
      <c r="Z46">
        <f>1000+AA46+Z$45</f>
        <v>999.56</v>
      </c>
      <c r="AA46" s="4">
        <v>-0.5</v>
      </c>
      <c r="AC46" s="5"/>
      <c r="AE46">
        <v>999.5</v>
      </c>
      <c r="AF46" s="4">
        <v>-0.5</v>
      </c>
      <c r="AH46" s="5"/>
      <c r="AJ46">
        <v>999.5</v>
      </c>
      <c r="AK46" s="4">
        <v>-0.5</v>
      </c>
      <c r="AM46" s="5"/>
      <c r="AO46">
        <v>999.5</v>
      </c>
      <c r="AP46" s="4">
        <v>-0.5</v>
      </c>
      <c r="AR46" s="5"/>
    </row>
    <row r="47" spans="1:44" x14ac:dyDescent="0.25">
      <c r="B47">
        <f t="shared" ref="B47:B75" si="5">B46-0.5</f>
        <v>83.6</v>
      </c>
      <c r="C47" s="4">
        <v>-1</v>
      </c>
      <c r="E47" s="5"/>
      <c r="H47">
        <f t="shared" ref="H47:H75" si="6">1000+I47+H$45</f>
        <v>999.06</v>
      </c>
      <c r="I47" s="4">
        <v>-1</v>
      </c>
      <c r="J47">
        <v>434.4</v>
      </c>
      <c r="K47" s="17">
        <f>J47*Head!$K$12/1000</f>
        <v>2.9453043955820435E-2</v>
      </c>
      <c r="L47" s="17"/>
      <c r="M47" s="5">
        <v>11.18</v>
      </c>
      <c r="O47">
        <f t="shared" ref="O47:O75" si="7">1000+P47+O$45</f>
        <v>999.06</v>
      </c>
      <c r="P47" s="4">
        <v>-1</v>
      </c>
      <c r="R47" s="5"/>
      <c r="T47">
        <f t="shared" ref="T47:T75" si="8">1000+U47+T$45</f>
        <v>999.06</v>
      </c>
      <c r="U47" s="4">
        <v>-1</v>
      </c>
      <c r="W47" s="5"/>
      <c r="Z47">
        <f t="shared" ref="Z47:Z75" si="9">1000+AA47+Z$45</f>
        <v>999.06</v>
      </c>
      <c r="AA47" s="4">
        <v>-1</v>
      </c>
      <c r="AC47" s="5"/>
      <c r="AE47">
        <v>999</v>
      </c>
      <c r="AF47" s="4">
        <v>-1</v>
      </c>
      <c r="AH47" s="5"/>
      <c r="AJ47">
        <v>999</v>
      </c>
      <c r="AK47" s="4">
        <v>-1</v>
      </c>
      <c r="AM47" s="5"/>
      <c r="AO47">
        <v>999</v>
      </c>
      <c r="AP47" s="4">
        <v>-1</v>
      </c>
      <c r="AR47" s="5"/>
    </row>
    <row r="48" spans="1:44" x14ac:dyDescent="0.25">
      <c r="B48">
        <f t="shared" si="5"/>
        <v>83.1</v>
      </c>
      <c r="C48" s="4">
        <v>-1.5</v>
      </c>
      <c r="E48" s="5"/>
      <c r="H48">
        <f t="shared" si="6"/>
        <v>998.56</v>
      </c>
      <c r="I48" s="4">
        <v>-1.5</v>
      </c>
      <c r="K48" s="17"/>
      <c r="L48" s="17"/>
      <c r="M48" s="5"/>
      <c r="O48">
        <f t="shared" si="7"/>
        <v>998.56</v>
      </c>
      <c r="P48" s="4">
        <v>-1.5</v>
      </c>
      <c r="R48" s="5"/>
      <c r="T48">
        <f t="shared" si="8"/>
        <v>998.56</v>
      </c>
      <c r="U48" s="4">
        <v>-1.5</v>
      </c>
      <c r="W48" s="5"/>
      <c r="Z48">
        <f t="shared" si="9"/>
        <v>998.56</v>
      </c>
      <c r="AA48" s="4">
        <v>-1.5</v>
      </c>
      <c r="AC48" s="5"/>
      <c r="AE48">
        <v>998.5</v>
      </c>
      <c r="AF48" s="4">
        <v>-1.5</v>
      </c>
      <c r="AH48" s="5"/>
      <c r="AJ48">
        <v>998.5</v>
      </c>
      <c r="AK48" s="4">
        <v>-1.5</v>
      </c>
      <c r="AM48" s="5"/>
      <c r="AO48">
        <v>998.5</v>
      </c>
      <c r="AP48" s="4">
        <v>-1.5</v>
      </c>
      <c r="AR48" s="5"/>
    </row>
    <row r="49" spans="2:44" x14ac:dyDescent="0.25">
      <c r="B49">
        <f t="shared" si="5"/>
        <v>82.6</v>
      </c>
      <c r="C49" s="4">
        <v>-2</v>
      </c>
      <c r="D49">
        <v>445.6</v>
      </c>
      <c r="E49" s="5">
        <v>10.37</v>
      </c>
      <c r="H49">
        <f t="shared" si="6"/>
        <v>998.06</v>
      </c>
      <c r="I49" s="4">
        <v>-2</v>
      </c>
      <c r="K49" s="17"/>
      <c r="L49" s="17"/>
      <c r="M49" s="5"/>
      <c r="O49">
        <f t="shared" si="7"/>
        <v>998.06</v>
      </c>
      <c r="P49" s="4">
        <v>-2</v>
      </c>
      <c r="Q49">
        <v>971.5</v>
      </c>
      <c r="R49" s="5">
        <v>8.1460000000000008</v>
      </c>
      <c r="T49">
        <f t="shared" si="8"/>
        <v>998.06</v>
      </c>
      <c r="U49" s="4">
        <v>-2</v>
      </c>
      <c r="V49">
        <v>935.1</v>
      </c>
      <c r="W49" s="5">
        <v>8.34</v>
      </c>
      <c r="Z49">
        <f t="shared" si="9"/>
        <v>998.06</v>
      </c>
      <c r="AA49" s="4">
        <v>-2</v>
      </c>
      <c r="AB49">
        <v>1639</v>
      </c>
      <c r="AC49" s="5">
        <v>8.6449999999999996</v>
      </c>
      <c r="AE49">
        <v>998</v>
      </c>
      <c r="AF49" s="4">
        <v>-2</v>
      </c>
      <c r="AH49" s="5"/>
      <c r="AJ49">
        <v>998</v>
      </c>
      <c r="AK49" s="4">
        <v>-2</v>
      </c>
      <c r="AM49" s="5"/>
      <c r="AO49">
        <v>998</v>
      </c>
      <c r="AP49" s="4">
        <v>-2</v>
      </c>
      <c r="AR49" s="5"/>
    </row>
    <row r="50" spans="2:44" x14ac:dyDescent="0.25">
      <c r="B50">
        <f t="shared" si="5"/>
        <v>82.1</v>
      </c>
      <c r="C50" s="4">
        <v>-2.5</v>
      </c>
      <c r="E50" s="5"/>
      <c r="H50">
        <f t="shared" si="6"/>
        <v>997.56</v>
      </c>
      <c r="I50" s="4">
        <v>-2.5</v>
      </c>
      <c r="K50" s="17"/>
      <c r="L50" s="17"/>
      <c r="M50" s="5"/>
      <c r="O50">
        <f t="shared" si="7"/>
        <v>997.56</v>
      </c>
      <c r="P50" s="4">
        <v>-2.5</v>
      </c>
      <c r="R50" s="5"/>
      <c r="T50">
        <f t="shared" si="8"/>
        <v>997.56</v>
      </c>
      <c r="U50" s="4">
        <v>-2.5</v>
      </c>
      <c r="W50" s="5"/>
      <c r="Z50">
        <f t="shared" si="9"/>
        <v>997.56</v>
      </c>
      <c r="AA50" s="4">
        <v>-2.5</v>
      </c>
      <c r="AC50" s="5"/>
      <c r="AE50">
        <v>997.5</v>
      </c>
      <c r="AF50" s="4">
        <v>-2.5</v>
      </c>
      <c r="AH50" s="5"/>
      <c r="AJ50">
        <v>997.5</v>
      </c>
      <c r="AK50" s="4">
        <v>-2.5</v>
      </c>
      <c r="AM50" s="5"/>
      <c r="AO50">
        <v>997.5</v>
      </c>
      <c r="AP50" s="4">
        <v>-2.5</v>
      </c>
      <c r="AR50" s="5"/>
    </row>
    <row r="51" spans="2:44" x14ac:dyDescent="0.25">
      <c r="B51">
        <f t="shared" si="5"/>
        <v>81.599999999999994</v>
      </c>
      <c r="C51" s="4">
        <v>-3</v>
      </c>
      <c r="E51" s="5"/>
      <c r="H51">
        <f t="shared" si="6"/>
        <v>997.06</v>
      </c>
      <c r="I51" s="4">
        <v>-3</v>
      </c>
      <c r="J51">
        <v>379</v>
      </c>
      <c r="K51" s="17">
        <f>J51*Head!$K$12/1000</f>
        <v>2.5696831628121419E-2</v>
      </c>
      <c r="L51" s="17"/>
      <c r="M51" s="5">
        <v>11.85</v>
      </c>
      <c r="O51">
        <f t="shared" si="7"/>
        <v>997.06</v>
      </c>
      <c r="P51" s="4">
        <v>-3</v>
      </c>
      <c r="R51" s="5"/>
      <c r="T51">
        <f t="shared" si="8"/>
        <v>997.06</v>
      </c>
      <c r="U51" s="4">
        <v>-3</v>
      </c>
      <c r="W51" s="5"/>
      <c r="Z51">
        <f t="shared" si="9"/>
        <v>997.06</v>
      </c>
      <c r="AA51" s="4">
        <v>-3</v>
      </c>
      <c r="AC51" s="5"/>
      <c r="AE51">
        <v>997</v>
      </c>
      <c r="AF51" s="4">
        <v>-3</v>
      </c>
      <c r="AH51" s="5"/>
      <c r="AJ51">
        <v>997</v>
      </c>
      <c r="AK51" s="4">
        <v>-3</v>
      </c>
      <c r="AM51" s="5"/>
      <c r="AO51">
        <v>997</v>
      </c>
      <c r="AP51" s="4">
        <v>-3</v>
      </c>
      <c r="AR51" s="5"/>
    </row>
    <row r="52" spans="2:44" x14ac:dyDescent="0.25">
      <c r="B52">
        <f t="shared" si="5"/>
        <v>81.099999999999994</v>
      </c>
      <c r="C52" s="4">
        <v>-3.5</v>
      </c>
      <c r="E52" s="5"/>
      <c r="H52">
        <f t="shared" si="6"/>
        <v>996.56</v>
      </c>
      <c r="I52" s="4">
        <v>-3.5</v>
      </c>
      <c r="K52" s="17"/>
      <c r="L52" s="17"/>
      <c r="M52" s="5"/>
      <c r="O52">
        <f t="shared" si="7"/>
        <v>996.56</v>
      </c>
      <c r="P52" s="4">
        <v>-3.5</v>
      </c>
      <c r="R52" s="5"/>
      <c r="T52">
        <f t="shared" si="8"/>
        <v>996.56</v>
      </c>
      <c r="U52" s="4">
        <v>-3.5</v>
      </c>
      <c r="W52" s="5"/>
      <c r="Z52">
        <f t="shared" si="9"/>
        <v>996.56</v>
      </c>
      <c r="AA52" s="4">
        <v>-3.5</v>
      </c>
      <c r="AC52" s="5"/>
      <c r="AE52">
        <v>996.5</v>
      </c>
      <c r="AF52" s="4">
        <v>-3.5</v>
      </c>
      <c r="AH52" s="5"/>
      <c r="AJ52">
        <v>996.5</v>
      </c>
      <c r="AK52" s="4">
        <v>-3.5</v>
      </c>
      <c r="AM52" s="5"/>
      <c r="AO52">
        <v>996.5</v>
      </c>
      <c r="AP52" s="4">
        <v>-3.5</v>
      </c>
      <c r="AR52" s="5"/>
    </row>
    <row r="53" spans="2:44" x14ac:dyDescent="0.25">
      <c r="B53">
        <f t="shared" si="5"/>
        <v>80.599999999999994</v>
      </c>
      <c r="C53" s="4">
        <v>-4</v>
      </c>
      <c r="D53">
        <v>438.8</v>
      </c>
      <c r="E53" s="5">
        <v>10.050000000000001</v>
      </c>
      <c r="H53">
        <f t="shared" si="6"/>
        <v>996.06</v>
      </c>
      <c r="I53" s="4">
        <v>-4</v>
      </c>
      <c r="K53" s="17"/>
      <c r="L53" s="17"/>
      <c r="M53" s="5"/>
      <c r="O53">
        <f t="shared" si="7"/>
        <v>996.06</v>
      </c>
      <c r="P53" s="4">
        <v>-4</v>
      </c>
      <c r="Q53">
        <v>878.6</v>
      </c>
      <c r="R53" s="5">
        <v>8.3529999999999998</v>
      </c>
      <c r="T53">
        <f t="shared" si="8"/>
        <v>996.06</v>
      </c>
      <c r="U53" s="4">
        <v>-4</v>
      </c>
      <c r="V53">
        <v>771.7</v>
      </c>
      <c r="W53" s="5">
        <v>8.6389999999999993</v>
      </c>
      <c r="Z53">
        <f t="shared" si="9"/>
        <v>996.06</v>
      </c>
      <c r="AA53" s="4">
        <v>-4</v>
      </c>
      <c r="AB53">
        <v>1471</v>
      </c>
      <c r="AC53" s="5">
        <v>8.9930000000000003</v>
      </c>
      <c r="AE53">
        <v>996</v>
      </c>
      <c r="AF53" s="4">
        <v>-4</v>
      </c>
      <c r="AH53" s="5"/>
      <c r="AJ53">
        <v>996</v>
      </c>
      <c r="AK53" s="4">
        <v>-4</v>
      </c>
      <c r="AM53" s="5"/>
      <c r="AO53">
        <v>996</v>
      </c>
      <c r="AP53" s="4">
        <v>-4</v>
      </c>
      <c r="AR53" s="5"/>
    </row>
    <row r="54" spans="2:44" x14ac:dyDescent="0.25">
      <c r="B54">
        <f t="shared" si="5"/>
        <v>80.099999999999994</v>
      </c>
      <c r="C54" s="4">
        <v>-4.5</v>
      </c>
      <c r="E54" s="5"/>
      <c r="H54">
        <f t="shared" si="6"/>
        <v>995.56</v>
      </c>
      <c r="I54" s="4">
        <v>-4.5</v>
      </c>
      <c r="K54" s="17"/>
      <c r="L54" s="17"/>
      <c r="M54" s="5"/>
      <c r="O54">
        <f t="shared" si="7"/>
        <v>995.56</v>
      </c>
      <c r="P54" s="4">
        <v>-4.5</v>
      </c>
      <c r="R54" s="5"/>
      <c r="T54">
        <f t="shared" si="8"/>
        <v>995.56</v>
      </c>
      <c r="U54" s="4">
        <v>-4.5</v>
      </c>
      <c r="W54" s="5"/>
      <c r="Z54">
        <f t="shared" si="9"/>
        <v>995.56</v>
      </c>
      <c r="AA54" s="4">
        <v>-4.5</v>
      </c>
      <c r="AC54" s="5"/>
      <c r="AE54">
        <v>995.5</v>
      </c>
      <c r="AF54" s="4">
        <v>-4.5</v>
      </c>
      <c r="AH54" s="5"/>
      <c r="AJ54">
        <v>995.5</v>
      </c>
      <c r="AK54" s="4">
        <v>-4.5</v>
      </c>
      <c r="AM54" s="5"/>
      <c r="AO54">
        <v>995.5</v>
      </c>
      <c r="AP54" s="4">
        <v>-4.5</v>
      </c>
      <c r="AR54" s="5"/>
    </row>
    <row r="55" spans="2:44" x14ac:dyDescent="0.25">
      <c r="B55">
        <f t="shared" si="5"/>
        <v>79.599999999999994</v>
      </c>
      <c r="C55" s="4">
        <v>-5</v>
      </c>
      <c r="E55" s="5"/>
      <c r="H55">
        <f t="shared" si="6"/>
        <v>995.06</v>
      </c>
      <c r="I55" s="4">
        <v>-5</v>
      </c>
      <c r="J55">
        <v>273</v>
      </c>
      <c r="K55" s="17">
        <f>J55*Head!$K$12/1000</f>
        <v>1.8509854972235219E-2</v>
      </c>
      <c r="L55" s="17"/>
      <c r="M55" s="5">
        <v>18.64</v>
      </c>
      <c r="O55">
        <f t="shared" si="7"/>
        <v>995.06</v>
      </c>
      <c r="P55" s="4">
        <v>-5</v>
      </c>
      <c r="R55" s="5"/>
      <c r="T55">
        <f t="shared" si="8"/>
        <v>995.06</v>
      </c>
      <c r="U55" s="4">
        <v>-5</v>
      </c>
      <c r="W55" s="5"/>
      <c r="Z55">
        <f t="shared" si="9"/>
        <v>995.06</v>
      </c>
      <c r="AA55" s="4">
        <v>-5</v>
      </c>
      <c r="AC55" s="5"/>
      <c r="AE55">
        <v>995</v>
      </c>
      <c r="AF55" s="4">
        <v>-5</v>
      </c>
      <c r="AH55" s="5"/>
      <c r="AJ55">
        <v>995</v>
      </c>
      <c r="AK55" s="4">
        <v>-5</v>
      </c>
      <c r="AM55" s="5"/>
      <c r="AO55">
        <v>995</v>
      </c>
      <c r="AP55" s="4">
        <v>-5</v>
      </c>
      <c r="AR55" s="5"/>
    </row>
    <row r="56" spans="2:44" x14ac:dyDescent="0.25">
      <c r="B56">
        <f t="shared" si="5"/>
        <v>79.099999999999994</v>
      </c>
      <c r="C56" s="4">
        <v>-5.5</v>
      </c>
      <c r="E56" s="5"/>
      <c r="H56">
        <f t="shared" si="6"/>
        <v>994.56</v>
      </c>
      <c r="I56" s="4">
        <v>-5.5</v>
      </c>
      <c r="K56" s="17"/>
      <c r="L56" s="17"/>
      <c r="M56" s="5"/>
      <c r="O56">
        <f t="shared" si="7"/>
        <v>994.56</v>
      </c>
      <c r="P56" s="4">
        <v>-5.5</v>
      </c>
      <c r="R56" s="5"/>
      <c r="T56">
        <f t="shared" si="8"/>
        <v>994.56</v>
      </c>
      <c r="U56" s="4">
        <v>-5.5</v>
      </c>
      <c r="W56" s="5"/>
      <c r="Z56">
        <f t="shared" si="9"/>
        <v>994.56</v>
      </c>
      <c r="AA56" s="4">
        <v>-5.5</v>
      </c>
      <c r="AC56" s="5"/>
      <c r="AE56">
        <v>994.5</v>
      </c>
      <c r="AF56" s="4">
        <v>-5.5</v>
      </c>
      <c r="AH56" s="5"/>
      <c r="AJ56">
        <v>994.5</v>
      </c>
      <c r="AK56" s="4">
        <v>-5.5</v>
      </c>
      <c r="AM56" s="5"/>
      <c r="AO56">
        <v>994.5</v>
      </c>
      <c r="AP56" s="4">
        <v>-5.5</v>
      </c>
      <c r="AR56" s="5"/>
    </row>
    <row r="57" spans="2:44" x14ac:dyDescent="0.25">
      <c r="B57">
        <f t="shared" si="5"/>
        <v>78.599999999999994</v>
      </c>
      <c r="C57" s="4">
        <v>-6</v>
      </c>
      <c r="D57">
        <v>430.4</v>
      </c>
      <c r="E57" s="5">
        <v>10.130000000000001</v>
      </c>
      <c r="H57">
        <f t="shared" si="6"/>
        <v>994.06</v>
      </c>
      <c r="I57" s="4">
        <v>-6</v>
      </c>
      <c r="K57" s="17"/>
      <c r="L57" s="17"/>
      <c r="M57" s="5"/>
      <c r="O57">
        <f t="shared" si="7"/>
        <v>994.06</v>
      </c>
      <c r="P57" s="4">
        <v>-6</v>
      </c>
      <c r="Q57">
        <v>739.7</v>
      </c>
      <c r="R57" s="5">
        <v>8.8089999999999993</v>
      </c>
      <c r="T57">
        <f t="shared" si="8"/>
        <v>994.06</v>
      </c>
      <c r="U57" s="4">
        <v>-6</v>
      </c>
      <c r="V57">
        <v>543.1</v>
      </c>
      <c r="W57" s="5">
        <v>9.6069999999999993</v>
      </c>
      <c r="Z57">
        <f t="shared" si="9"/>
        <v>994.06</v>
      </c>
      <c r="AA57" s="4">
        <v>-6</v>
      </c>
      <c r="AB57">
        <v>1249</v>
      </c>
      <c r="AC57" s="5">
        <v>9.4309999999999992</v>
      </c>
      <c r="AE57">
        <v>994</v>
      </c>
      <c r="AF57" s="4">
        <v>-6</v>
      </c>
      <c r="AH57" s="5"/>
      <c r="AJ57">
        <v>994</v>
      </c>
      <c r="AK57" s="4">
        <v>-6</v>
      </c>
      <c r="AM57" s="5"/>
      <c r="AO57">
        <v>994</v>
      </c>
      <c r="AP57" s="4">
        <v>-6</v>
      </c>
      <c r="AR57" s="5"/>
    </row>
    <row r="58" spans="2:44" x14ac:dyDescent="0.25">
      <c r="B58">
        <f t="shared" si="5"/>
        <v>78.099999999999994</v>
      </c>
      <c r="C58" s="4">
        <v>-6.5</v>
      </c>
      <c r="E58" s="5"/>
      <c r="H58">
        <f t="shared" si="6"/>
        <v>993.56</v>
      </c>
      <c r="I58" s="4">
        <v>-6.5</v>
      </c>
      <c r="K58" s="17"/>
      <c r="L58" s="17"/>
      <c r="M58" s="5"/>
      <c r="O58">
        <f t="shared" si="7"/>
        <v>993.56</v>
      </c>
      <c r="P58" s="4">
        <v>-6.5</v>
      </c>
      <c r="R58" s="5"/>
      <c r="T58">
        <f t="shared" si="8"/>
        <v>993.56</v>
      </c>
      <c r="U58" s="4">
        <v>-6.5</v>
      </c>
      <c r="W58" s="5"/>
      <c r="Z58">
        <f t="shared" si="9"/>
        <v>993.56</v>
      </c>
      <c r="AA58" s="4">
        <v>-6.5</v>
      </c>
      <c r="AC58" s="5"/>
      <c r="AE58">
        <v>993.5</v>
      </c>
      <c r="AF58" s="4">
        <v>-6.5</v>
      </c>
      <c r="AH58" s="5"/>
      <c r="AJ58">
        <v>993.5</v>
      </c>
      <c r="AK58" s="4">
        <v>-6.5</v>
      </c>
      <c r="AM58" s="5"/>
      <c r="AO58">
        <v>993.5</v>
      </c>
      <c r="AP58" s="4">
        <v>-6.5</v>
      </c>
      <c r="AR58" s="5"/>
    </row>
    <row r="59" spans="2:44" x14ac:dyDescent="0.25">
      <c r="B59">
        <f t="shared" si="5"/>
        <v>77.599999999999994</v>
      </c>
      <c r="C59" s="4">
        <v>-7</v>
      </c>
      <c r="E59" s="5"/>
      <c r="H59">
        <f t="shared" si="6"/>
        <v>993.06</v>
      </c>
      <c r="I59" s="4">
        <v>-7</v>
      </c>
      <c r="J59">
        <v>153.1</v>
      </c>
      <c r="K59" s="17">
        <f>J59*Head!$K$12/1000</f>
        <v>1.0380435151096015E-2</v>
      </c>
      <c r="L59" s="17"/>
      <c r="M59" s="5">
        <v>19.55</v>
      </c>
      <c r="O59">
        <f t="shared" si="7"/>
        <v>993.06</v>
      </c>
      <c r="P59" s="4">
        <v>-7</v>
      </c>
      <c r="R59" s="5"/>
      <c r="T59">
        <f t="shared" si="8"/>
        <v>993.06</v>
      </c>
      <c r="U59" s="4">
        <v>-7</v>
      </c>
      <c r="V59">
        <v>389.9</v>
      </c>
      <c r="W59" s="5">
        <v>10.093999999999999</v>
      </c>
      <c r="Z59">
        <f t="shared" si="9"/>
        <v>993.06</v>
      </c>
      <c r="AA59" s="4">
        <v>-7</v>
      </c>
      <c r="AC59" s="5"/>
      <c r="AE59">
        <v>993</v>
      </c>
      <c r="AF59" s="4">
        <v>-7</v>
      </c>
      <c r="AH59" s="5"/>
      <c r="AJ59">
        <v>993</v>
      </c>
      <c r="AK59" s="4">
        <v>-7</v>
      </c>
      <c r="AM59" s="5"/>
      <c r="AO59">
        <v>993</v>
      </c>
      <c r="AP59" s="4">
        <v>-7</v>
      </c>
      <c r="AR59" s="5"/>
    </row>
    <row r="60" spans="2:44" x14ac:dyDescent="0.25">
      <c r="B60">
        <f t="shared" si="5"/>
        <v>77.099999999999994</v>
      </c>
      <c r="C60" s="4">
        <v>-7.5</v>
      </c>
      <c r="E60" s="5"/>
      <c r="H60">
        <f t="shared" si="6"/>
        <v>992.56</v>
      </c>
      <c r="I60" s="4">
        <v>-7.5</v>
      </c>
      <c r="K60" s="17"/>
      <c r="L60" s="17"/>
      <c r="M60" s="5"/>
      <c r="O60">
        <f t="shared" si="7"/>
        <v>992.56</v>
      </c>
      <c r="P60" s="4">
        <v>-7.5</v>
      </c>
      <c r="R60" s="5"/>
      <c r="T60">
        <f t="shared" si="8"/>
        <v>992.56</v>
      </c>
      <c r="U60" s="4">
        <v>-7.5</v>
      </c>
      <c r="W60" s="5"/>
      <c r="Z60">
        <f t="shared" si="9"/>
        <v>992.56</v>
      </c>
      <c r="AA60" s="4">
        <v>-7.5</v>
      </c>
      <c r="AC60" s="5"/>
      <c r="AE60">
        <v>992.5</v>
      </c>
      <c r="AF60" s="4">
        <v>-7.5</v>
      </c>
      <c r="AH60" s="5"/>
      <c r="AJ60">
        <v>992.5</v>
      </c>
      <c r="AK60" s="4">
        <v>-7.5</v>
      </c>
      <c r="AM60" s="5"/>
      <c r="AO60">
        <v>992.5</v>
      </c>
      <c r="AP60" s="4">
        <v>-7.5</v>
      </c>
      <c r="AR60" s="5"/>
    </row>
    <row r="61" spans="2:44" x14ac:dyDescent="0.25">
      <c r="B61">
        <f t="shared" si="5"/>
        <v>76.599999999999994</v>
      </c>
      <c r="C61" s="4">
        <v>-8</v>
      </c>
      <c r="D61">
        <v>422.1</v>
      </c>
      <c r="E61" s="5">
        <v>10.130000000000001</v>
      </c>
      <c r="H61">
        <f t="shared" si="6"/>
        <v>992.06</v>
      </c>
      <c r="I61" s="4">
        <v>-8</v>
      </c>
      <c r="J61">
        <v>86.19</v>
      </c>
      <c r="K61" s="17">
        <f>J61*Head!$K$12/1000</f>
        <v>5.8438256412342623E-3</v>
      </c>
      <c r="L61" s="17"/>
      <c r="M61" s="5">
        <v>19.489999999999998</v>
      </c>
      <c r="O61">
        <f t="shared" si="7"/>
        <v>992.06</v>
      </c>
      <c r="P61" s="4">
        <v>-8</v>
      </c>
      <c r="Q61">
        <v>557.6</v>
      </c>
      <c r="R61" s="5">
        <v>9.2040000000000006</v>
      </c>
      <c r="T61">
        <f t="shared" si="8"/>
        <v>992.06</v>
      </c>
      <c r="U61" s="4">
        <v>-8</v>
      </c>
      <c r="V61">
        <v>235.2</v>
      </c>
      <c r="W61" s="5">
        <v>10.756</v>
      </c>
      <c r="Z61">
        <f t="shared" si="9"/>
        <v>992.06</v>
      </c>
      <c r="AA61" s="4">
        <v>-8</v>
      </c>
      <c r="AB61">
        <v>963.7</v>
      </c>
      <c r="AC61" s="5">
        <v>9.8930000000000007</v>
      </c>
      <c r="AE61">
        <v>992</v>
      </c>
      <c r="AF61" s="4">
        <v>-8</v>
      </c>
      <c r="AH61" s="5"/>
      <c r="AJ61">
        <v>992</v>
      </c>
      <c r="AK61" s="4">
        <v>-8</v>
      </c>
      <c r="AM61" s="5"/>
      <c r="AO61">
        <v>992</v>
      </c>
      <c r="AP61" s="4">
        <v>-8</v>
      </c>
      <c r="AR61" s="5"/>
    </row>
    <row r="62" spans="2:44" x14ac:dyDescent="0.25">
      <c r="B62">
        <f t="shared" si="5"/>
        <v>76.099999999999994</v>
      </c>
      <c r="C62" s="4">
        <v>-8.5</v>
      </c>
      <c r="D62">
        <v>421</v>
      </c>
      <c r="E62" s="5">
        <v>10.35</v>
      </c>
      <c r="H62">
        <f t="shared" si="6"/>
        <v>991.56</v>
      </c>
      <c r="I62" s="4">
        <v>-8.5</v>
      </c>
      <c r="K62" s="17"/>
      <c r="L62" s="17"/>
      <c r="M62" s="5"/>
      <c r="O62">
        <f t="shared" si="7"/>
        <v>991.56</v>
      </c>
      <c r="P62" s="4">
        <v>-8.5</v>
      </c>
      <c r="R62" s="5"/>
      <c r="T62">
        <f t="shared" si="8"/>
        <v>991.56</v>
      </c>
      <c r="U62" s="4">
        <v>-8.5</v>
      </c>
      <c r="W62" s="5"/>
      <c r="Z62">
        <f t="shared" si="9"/>
        <v>991.56</v>
      </c>
      <c r="AA62" s="4">
        <v>-8.5</v>
      </c>
      <c r="AC62" s="5"/>
      <c r="AE62">
        <v>991.5</v>
      </c>
      <c r="AF62" s="4">
        <v>-8.5</v>
      </c>
      <c r="AH62" s="5"/>
      <c r="AJ62">
        <v>991.5</v>
      </c>
      <c r="AK62" s="4">
        <v>-8.5</v>
      </c>
      <c r="AM62" s="5"/>
      <c r="AO62">
        <v>991.5</v>
      </c>
      <c r="AP62" s="4">
        <v>-8.5</v>
      </c>
      <c r="AR62" s="5"/>
    </row>
    <row r="63" spans="2:44" x14ac:dyDescent="0.25">
      <c r="B63">
        <f t="shared" si="5"/>
        <v>75.599999999999994</v>
      </c>
      <c r="C63" s="4">
        <v>-9</v>
      </c>
      <c r="D63">
        <v>418</v>
      </c>
      <c r="E63" s="5">
        <v>10.210000000000001</v>
      </c>
      <c r="H63">
        <f t="shared" si="6"/>
        <v>991.06</v>
      </c>
      <c r="I63" s="4">
        <v>-9</v>
      </c>
      <c r="J63">
        <v>70.22</v>
      </c>
      <c r="K63" s="17">
        <f>J63*Head!$K$12/1000</f>
        <v>4.7610330261917844E-3</v>
      </c>
      <c r="L63" s="17"/>
      <c r="M63" s="5">
        <v>23.17</v>
      </c>
      <c r="O63">
        <f t="shared" si="7"/>
        <v>991.06</v>
      </c>
      <c r="P63" s="4">
        <v>-9</v>
      </c>
      <c r="R63" s="5"/>
      <c r="T63">
        <f t="shared" si="8"/>
        <v>991.06</v>
      </c>
      <c r="U63" s="4">
        <v>-9</v>
      </c>
      <c r="V63">
        <v>197.3</v>
      </c>
      <c r="W63" s="5">
        <v>10.867000000000001</v>
      </c>
      <c r="X63">
        <v>25.56</v>
      </c>
      <c r="Z63">
        <f t="shared" si="9"/>
        <v>991.06</v>
      </c>
      <c r="AA63" s="4">
        <v>-9</v>
      </c>
      <c r="AB63">
        <v>802.1</v>
      </c>
      <c r="AC63" s="5">
        <v>10.372999999999999</v>
      </c>
      <c r="AE63">
        <v>991</v>
      </c>
      <c r="AF63" s="4">
        <v>-9</v>
      </c>
      <c r="AH63" s="5"/>
      <c r="AJ63">
        <v>991</v>
      </c>
      <c r="AK63" s="4">
        <v>-9</v>
      </c>
      <c r="AM63" s="5"/>
      <c r="AO63">
        <v>991</v>
      </c>
      <c r="AP63" s="4">
        <v>-9</v>
      </c>
      <c r="AR63" s="5"/>
    </row>
    <row r="64" spans="2:44" x14ac:dyDescent="0.25">
      <c r="B64">
        <f t="shared" si="5"/>
        <v>75.099999999999994</v>
      </c>
      <c r="C64" s="4">
        <v>-9.5</v>
      </c>
      <c r="E64" s="5"/>
      <c r="H64">
        <f t="shared" si="6"/>
        <v>990.56</v>
      </c>
      <c r="I64" s="4">
        <v>-9.5</v>
      </c>
      <c r="K64" s="17"/>
      <c r="L64" s="17"/>
      <c r="M64" s="5"/>
      <c r="O64">
        <f t="shared" si="7"/>
        <v>990.56</v>
      </c>
      <c r="P64" s="4">
        <v>-9.5</v>
      </c>
      <c r="R64" s="5"/>
      <c r="T64">
        <f t="shared" si="8"/>
        <v>990.56</v>
      </c>
      <c r="U64" s="4">
        <v>-9.5</v>
      </c>
      <c r="W64" s="5"/>
      <c r="Z64">
        <f t="shared" si="9"/>
        <v>990.56</v>
      </c>
      <c r="AA64" s="4">
        <v>-9.5</v>
      </c>
      <c r="AC64" s="5"/>
      <c r="AE64">
        <v>990.5</v>
      </c>
      <c r="AF64" s="4">
        <v>-9.5</v>
      </c>
      <c r="AH64" s="5"/>
      <c r="AJ64">
        <v>990.5</v>
      </c>
      <c r="AK64" s="4">
        <v>-9.5</v>
      </c>
      <c r="AM64" s="5"/>
      <c r="AO64">
        <v>990.5</v>
      </c>
      <c r="AP64" s="4">
        <v>-9.5</v>
      </c>
      <c r="AR64" s="5"/>
    </row>
    <row r="65" spans="2:44" x14ac:dyDescent="0.25">
      <c r="B65">
        <f t="shared" si="5"/>
        <v>74.599999999999994</v>
      </c>
      <c r="C65" s="4">
        <v>-10</v>
      </c>
      <c r="D65">
        <v>424.8</v>
      </c>
      <c r="E65" s="5"/>
      <c r="H65">
        <f t="shared" si="6"/>
        <v>990.06</v>
      </c>
      <c r="I65" s="4">
        <v>-10</v>
      </c>
      <c r="J65">
        <v>64.099999999999994</v>
      </c>
      <c r="K65" s="17">
        <f>J65*Head!$K$12/1000</f>
        <v>4.3460868268142029E-3</v>
      </c>
      <c r="L65" s="17"/>
      <c r="M65" s="5">
        <v>24.14</v>
      </c>
      <c r="O65">
        <f t="shared" si="7"/>
        <v>990.06</v>
      </c>
      <c r="P65" s="4">
        <v>-10</v>
      </c>
      <c r="Q65">
        <v>340.6</v>
      </c>
      <c r="R65" s="5">
        <v>9.9580000000000002</v>
      </c>
      <c r="T65">
        <f t="shared" si="8"/>
        <v>990.06</v>
      </c>
      <c r="U65" s="4">
        <v>-10</v>
      </c>
      <c r="V65">
        <v>183.6</v>
      </c>
      <c r="W65" s="5">
        <v>11.16</v>
      </c>
      <c r="Z65">
        <f t="shared" si="9"/>
        <v>990.06</v>
      </c>
      <c r="AA65" s="4">
        <v>-10</v>
      </c>
      <c r="AB65">
        <v>605.5</v>
      </c>
      <c r="AC65" s="5">
        <v>10.759</v>
      </c>
      <c r="AE65">
        <v>990</v>
      </c>
      <c r="AF65" s="4">
        <v>-10</v>
      </c>
      <c r="AH65" s="5"/>
      <c r="AJ65">
        <v>990</v>
      </c>
      <c r="AK65" s="4">
        <v>-10</v>
      </c>
      <c r="AM65" s="5"/>
      <c r="AO65">
        <v>990</v>
      </c>
      <c r="AP65" s="4">
        <v>-10</v>
      </c>
      <c r="AR65" s="5"/>
    </row>
    <row r="66" spans="2:44" x14ac:dyDescent="0.25">
      <c r="B66">
        <f t="shared" si="5"/>
        <v>74.099999999999994</v>
      </c>
      <c r="C66" s="4">
        <v>-10.5</v>
      </c>
      <c r="E66" s="5"/>
      <c r="H66">
        <f t="shared" si="6"/>
        <v>989.56</v>
      </c>
      <c r="I66" s="4">
        <v>-10.5</v>
      </c>
      <c r="K66" s="17"/>
      <c r="L66" s="17"/>
      <c r="M66" s="5"/>
      <c r="O66">
        <f t="shared" si="7"/>
        <v>989.56</v>
      </c>
      <c r="P66" s="4">
        <v>-10.5</v>
      </c>
      <c r="R66" s="5"/>
      <c r="T66">
        <f t="shared" si="8"/>
        <v>989.56</v>
      </c>
      <c r="U66" s="4">
        <v>-10.5</v>
      </c>
      <c r="W66" s="5"/>
      <c r="Z66">
        <f t="shared" si="9"/>
        <v>989.56</v>
      </c>
      <c r="AA66" s="4">
        <v>-10.5</v>
      </c>
      <c r="AC66" s="5"/>
      <c r="AE66">
        <v>989.5</v>
      </c>
      <c r="AF66" s="4">
        <v>-10.5</v>
      </c>
      <c r="AH66" s="5"/>
      <c r="AJ66">
        <v>989.5</v>
      </c>
      <c r="AK66" s="4">
        <v>-10.5</v>
      </c>
      <c r="AM66" s="5"/>
      <c r="AO66">
        <v>989.5</v>
      </c>
      <c r="AP66" s="4">
        <v>-10.5</v>
      </c>
      <c r="AR66" s="5"/>
    </row>
    <row r="67" spans="2:44" x14ac:dyDescent="0.25">
      <c r="B67">
        <f t="shared" si="5"/>
        <v>73.599999999999994</v>
      </c>
      <c r="C67" s="4">
        <v>-11</v>
      </c>
      <c r="E67" s="5"/>
      <c r="H67">
        <f t="shared" si="6"/>
        <v>989.06</v>
      </c>
      <c r="I67" s="4">
        <v>-11</v>
      </c>
      <c r="J67">
        <v>60.83</v>
      </c>
      <c r="K67" s="17">
        <f>J67*Head!$K$12/1000</f>
        <v>4.12437537714677E-3</v>
      </c>
      <c r="L67" s="17"/>
      <c r="M67" s="5">
        <v>25.42</v>
      </c>
      <c r="O67">
        <f t="shared" si="7"/>
        <v>989.06</v>
      </c>
      <c r="P67" s="4">
        <v>-11</v>
      </c>
      <c r="R67" s="5"/>
      <c r="T67">
        <f t="shared" si="8"/>
        <v>989.06</v>
      </c>
      <c r="U67" s="4">
        <v>-11</v>
      </c>
      <c r="V67">
        <v>172.8</v>
      </c>
      <c r="W67" s="5">
        <v>10.629</v>
      </c>
      <c r="Z67">
        <f t="shared" si="9"/>
        <v>989.06</v>
      </c>
      <c r="AA67" s="4">
        <v>-11</v>
      </c>
      <c r="AB67">
        <v>420.5</v>
      </c>
      <c r="AC67" s="5">
        <v>11.279</v>
      </c>
      <c r="AE67">
        <v>989</v>
      </c>
      <c r="AF67" s="4">
        <v>-11</v>
      </c>
      <c r="AH67" s="5"/>
      <c r="AJ67">
        <v>989</v>
      </c>
      <c r="AK67" s="4">
        <v>-11</v>
      </c>
      <c r="AM67" s="5"/>
      <c r="AO67">
        <v>989</v>
      </c>
      <c r="AP67" s="4">
        <v>-11</v>
      </c>
      <c r="AR67" s="5"/>
    </row>
    <row r="68" spans="2:44" x14ac:dyDescent="0.25">
      <c r="B68">
        <f t="shared" si="5"/>
        <v>73.099999999999994</v>
      </c>
      <c r="C68" s="4">
        <v>-11.5</v>
      </c>
      <c r="E68" s="5"/>
      <c r="H68">
        <f t="shared" si="6"/>
        <v>988.56</v>
      </c>
      <c r="I68" s="4">
        <v>-11.5</v>
      </c>
      <c r="K68" s="17"/>
      <c r="L68" s="17"/>
      <c r="M68" s="5"/>
      <c r="O68">
        <f t="shared" si="7"/>
        <v>988.56</v>
      </c>
      <c r="P68" s="4">
        <v>-11.5</v>
      </c>
      <c r="R68" s="5"/>
      <c r="T68">
        <f t="shared" si="8"/>
        <v>988.56</v>
      </c>
      <c r="U68" s="4">
        <v>-11.5</v>
      </c>
      <c r="W68" s="5"/>
      <c r="Z68">
        <f t="shared" si="9"/>
        <v>988.56</v>
      </c>
      <c r="AA68" s="4">
        <v>-11.5</v>
      </c>
      <c r="AC68" s="5"/>
      <c r="AE68">
        <v>988.5</v>
      </c>
      <c r="AF68" s="4">
        <v>-11.5</v>
      </c>
      <c r="AH68" s="5"/>
      <c r="AJ68">
        <v>988.5</v>
      </c>
      <c r="AK68" s="4">
        <v>-11.5</v>
      </c>
      <c r="AM68" s="5"/>
      <c r="AO68">
        <v>988.5</v>
      </c>
      <c r="AP68" s="4">
        <v>-11.5</v>
      </c>
      <c r="AR68" s="5"/>
    </row>
    <row r="69" spans="2:44" x14ac:dyDescent="0.25">
      <c r="B69">
        <f t="shared" si="5"/>
        <v>72.599999999999994</v>
      </c>
      <c r="C69" s="4">
        <v>-12</v>
      </c>
      <c r="E69" s="5"/>
      <c r="H69">
        <f t="shared" si="6"/>
        <v>988.06</v>
      </c>
      <c r="I69" s="4">
        <v>-12</v>
      </c>
      <c r="J69">
        <v>58.72</v>
      </c>
      <c r="K69" s="17">
        <f>J69*Head!$K$12/1000</f>
        <v>3.9813138606946963E-3</v>
      </c>
      <c r="L69" s="17"/>
      <c r="M69" s="5">
        <v>26.5</v>
      </c>
      <c r="O69">
        <f t="shared" si="7"/>
        <v>988.06</v>
      </c>
      <c r="P69" s="4">
        <v>-12</v>
      </c>
      <c r="Q69">
        <v>195.8</v>
      </c>
      <c r="R69" s="5">
        <v>10.571</v>
      </c>
      <c r="T69">
        <f t="shared" si="8"/>
        <v>988.06</v>
      </c>
      <c r="U69" s="4">
        <v>-12</v>
      </c>
      <c r="V69">
        <v>163.1</v>
      </c>
      <c r="W69" s="5">
        <v>11.227</v>
      </c>
      <c r="X69">
        <v>31.46</v>
      </c>
      <c r="Z69">
        <f t="shared" si="9"/>
        <v>988.06</v>
      </c>
      <c r="AA69" s="4">
        <v>-12</v>
      </c>
      <c r="AB69">
        <v>352.9</v>
      </c>
      <c r="AC69" s="5">
        <v>11.333</v>
      </c>
      <c r="AE69">
        <v>988</v>
      </c>
      <c r="AF69" s="4">
        <v>-12</v>
      </c>
      <c r="AH69" s="5"/>
      <c r="AJ69">
        <v>988</v>
      </c>
      <c r="AK69" s="4">
        <v>-12</v>
      </c>
      <c r="AM69" s="5"/>
      <c r="AO69">
        <v>988</v>
      </c>
      <c r="AP69" s="4">
        <v>-12</v>
      </c>
      <c r="AR69" s="5"/>
    </row>
    <row r="70" spans="2:44" x14ac:dyDescent="0.25">
      <c r="B70">
        <f t="shared" si="5"/>
        <v>72.099999999999994</v>
      </c>
      <c r="C70" s="4">
        <v>-12.5</v>
      </c>
      <c r="E70" s="5"/>
      <c r="H70">
        <f t="shared" si="6"/>
        <v>987.56</v>
      </c>
      <c r="I70" s="4">
        <v>-12.5</v>
      </c>
      <c r="K70" s="17"/>
      <c r="L70" s="17"/>
      <c r="M70" s="5"/>
      <c r="O70">
        <f t="shared" si="7"/>
        <v>987.56</v>
      </c>
      <c r="P70" s="4">
        <v>-12.5</v>
      </c>
      <c r="R70" s="5"/>
      <c r="T70">
        <f t="shared" si="8"/>
        <v>987.56</v>
      </c>
      <c r="U70" s="4">
        <v>-12.5</v>
      </c>
      <c r="W70" s="5"/>
      <c r="Z70">
        <f t="shared" si="9"/>
        <v>987.56</v>
      </c>
      <c r="AA70" s="4">
        <v>-12.5</v>
      </c>
      <c r="AC70" s="5"/>
      <c r="AE70">
        <v>987.5</v>
      </c>
      <c r="AF70" s="4">
        <v>-12.5</v>
      </c>
      <c r="AH70" s="5"/>
      <c r="AJ70">
        <v>987.5</v>
      </c>
      <c r="AK70" s="4">
        <v>-12.5</v>
      </c>
      <c r="AM70" s="5"/>
      <c r="AO70">
        <v>987.5</v>
      </c>
      <c r="AP70" s="4">
        <v>-12.5</v>
      </c>
      <c r="AR70" s="5"/>
    </row>
    <row r="71" spans="2:44" x14ac:dyDescent="0.25">
      <c r="B71">
        <f t="shared" si="5"/>
        <v>71.599999999999994</v>
      </c>
      <c r="C71" s="4">
        <v>-13</v>
      </c>
      <c r="E71" s="5"/>
      <c r="H71">
        <f t="shared" si="6"/>
        <v>987.06</v>
      </c>
      <c r="I71" s="4">
        <v>-13</v>
      </c>
      <c r="J71">
        <v>54.67</v>
      </c>
      <c r="K71" s="17">
        <f>J71*Head!$K$12/1000</f>
        <v>3.7067171111065914E-3</v>
      </c>
      <c r="L71" s="17"/>
      <c r="M71" s="5">
        <v>21.51</v>
      </c>
      <c r="O71">
        <f t="shared" si="7"/>
        <v>987.06</v>
      </c>
      <c r="P71" s="4">
        <v>-13</v>
      </c>
      <c r="Q71">
        <v>169.9</v>
      </c>
      <c r="R71" s="5">
        <v>10.06</v>
      </c>
      <c r="T71">
        <f t="shared" si="8"/>
        <v>987.06</v>
      </c>
      <c r="U71" s="4">
        <v>-13</v>
      </c>
      <c r="V71">
        <v>154.69999999999999</v>
      </c>
      <c r="W71">
        <v>10.95</v>
      </c>
      <c r="Z71">
        <f t="shared" si="9"/>
        <v>987.06</v>
      </c>
      <c r="AA71" s="4">
        <v>-13</v>
      </c>
      <c r="AB71">
        <v>300.60000000000002</v>
      </c>
      <c r="AC71" s="5">
        <v>11.343999999999999</v>
      </c>
      <c r="AE71">
        <v>987</v>
      </c>
      <c r="AF71" s="4">
        <v>-13</v>
      </c>
      <c r="AH71" s="5"/>
      <c r="AJ71">
        <v>987</v>
      </c>
      <c r="AK71" s="4">
        <v>-13</v>
      </c>
      <c r="AM71" s="5"/>
      <c r="AO71">
        <v>987</v>
      </c>
      <c r="AP71" s="4">
        <v>-13</v>
      </c>
      <c r="AR71" s="5"/>
    </row>
    <row r="72" spans="2:44" x14ac:dyDescent="0.25">
      <c r="B72">
        <f t="shared" si="5"/>
        <v>71.099999999999994</v>
      </c>
      <c r="C72" s="4">
        <v>-13.5</v>
      </c>
      <c r="E72" s="5"/>
      <c r="H72">
        <f t="shared" si="6"/>
        <v>986.56</v>
      </c>
      <c r="I72" s="4">
        <v>-13.5</v>
      </c>
      <c r="K72" s="17"/>
      <c r="L72" s="17"/>
      <c r="M72" s="5"/>
      <c r="O72">
        <f t="shared" si="7"/>
        <v>986.56</v>
      </c>
      <c r="P72" s="4">
        <v>-13.5</v>
      </c>
      <c r="R72" s="5"/>
      <c r="T72">
        <f t="shared" si="8"/>
        <v>986.56</v>
      </c>
      <c r="U72" s="4">
        <v>-13.5</v>
      </c>
      <c r="Z72">
        <f t="shared" si="9"/>
        <v>986.56</v>
      </c>
      <c r="AA72" s="4">
        <v>-13.5</v>
      </c>
      <c r="AC72" s="5"/>
      <c r="AE72">
        <v>986.5</v>
      </c>
      <c r="AF72" s="4">
        <v>-13.5</v>
      </c>
      <c r="AH72" s="5"/>
      <c r="AJ72">
        <v>986.5</v>
      </c>
      <c r="AK72" s="4">
        <v>-13.5</v>
      </c>
      <c r="AM72" s="5"/>
      <c r="AO72">
        <v>986.5</v>
      </c>
      <c r="AP72" s="4">
        <v>-13.5</v>
      </c>
      <c r="AR72" s="5"/>
    </row>
    <row r="73" spans="2:44" x14ac:dyDescent="0.25">
      <c r="B73">
        <f t="shared" si="5"/>
        <v>70.599999999999994</v>
      </c>
      <c r="C73" s="4">
        <v>-14</v>
      </c>
      <c r="E73" s="5"/>
      <c r="H73">
        <f t="shared" si="6"/>
        <v>986.06</v>
      </c>
      <c r="I73" s="4">
        <v>-14</v>
      </c>
      <c r="J73">
        <v>13.51</v>
      </c>
      <c r="K73" s="17">
        <f>J73*Head!$K$12/1000</f>
        <v>9.1600051529266589E-4</v>
      </c>
      <c r="L73" s="17"/>
      <c r="M73" s="5">
        <v>14.92</v>
      </c>
      <c r="O73">
        <f t="shared" si="7"/>
        <v>986.06</v>
      </c>
      <c r="P73" s="4">
        <v>-14</v>
      </c>
      <c r="Q73">
        <v>42.3</v>
      </c>
      <c r="R73" s="5">
        <v>8.5890000000000004</v>
      </c>
      <c r="T73">
        <f t="shared" si="8"/>
        <v>986.06</v>
      </c>
      <c r="U73" s="4">
        <v>-14</v>
      </c>
      <c r="V73">
        <v>89.36</v>
      </c>
      <c r="W73">
        <v>10.807</v>
      </c>
      <c r="Z73">
        <f t="shared" si="9"/>
        <v>986.06</v>
      </c>
      <c r="AA73" s="4">
        <v>-14</v>
      </c>
      <c r="AB73">
        <v>72.78</v>
      </c>
      <c r="AC73" s="5">
        <v>9.7509999999999994</v>
      </c>
      <c r="AE73">
        <v>986</v>
      </c>
      <c r="AF73" s="4">
        <v>-14</v>
      </c>
      <c r="AH73" s="5"/>
      <c r="AJ73">
        <v>986</v>
      </c>
      <c r="AK73" s="4">
        <v>-14</v>
      </c>
      <c r="AM73" s="5"/>
      <c r="AO73">
        <v>986</v>
      </c>
      <c r="AP73" s="4">
        <v>-14</v>
      </c>
      <c r="AR73" s="5"/>
    </row>
    <row r="74" spans="2:44" x14ac:dyDescent="0.25">
      <c r="B74">
        <f t="shared" si="5"/>
        <v>70.099999999999994</v>
      </c>
      <c r="C74" s="4">
        <v>-14.5</v>
      </c>
      <c r="E74" s="5"/>
      <c r="H74">
        <f t="shared" si="6"/>
        <v>985.56</v>
      </c>
      <c r="I74" s="4">
        <v>-14.5</v>
      </c>
      <c r="K74" s="17"/>
      <c r="L74" s="17"/>
      <c r="M74" s="5"/>
      <c r="O74">
        <f t="shared" si="7"/>
        <v>985.56</v>
      </c>
      <c r="P74" s="4">
        <v>-14.5</v>
      </c>
      <c r="R74" s="5"/>
      <c r="T74">
        <f t="shared" si="8"/>
        <v>985.56</v>
      </c>
      <c r="U74" s="4">
        <v>-14.5</v>
      </c>
      <c r="Z74">
        <f t="shared" si="9"/>
        <v>985.56</v>
      </c>
      <c r="AA74" s="4">
        <v>-14.5</v>
      </c>
      <c r="AC74" s="5"/>
      <c r="AE74">
        <v>985.5</v>
      </c>
      <c r="AF74" s="4">
        <v>-14.5</v>
      </c>
      <c r="AH74" s="5"/>
      <c r="AJ74">
        <v>985.5</v>
      </c>
      <c r="AK74" s="4">
        <v>-14.5</v>
      </c>
      <c r="AM74" s="5"/>
      <c r="AO74">
        <v>985.5</v>
      </c>
      <c r="AP74" s="4">
        <v>-14.5</v>
      </c>
      <c r="AR74" s="5"/>
    </row>
    <row r="75" spans="2:44" x14ac:dyDescent="0.25">
      <c r="B75">
        <f t="shared" si="5"/>
        <v>69.599999999999994</v>
      </c>
      <c r="C75" s="6">
        <v>-15</v>
      </c>
      <c r="D75" t="s">
        <v>62</v>
      </c>
      <c r="E75" s="8"/>
      <c r="H75">
        <f t="shared" si="6"/>
        <v>985.06</v>
      </c>
      <c r="I75" s="6">
        <v>-15</v>
      </c>
      <c r="J75" s="7">
        <v>6.3449999999999998</v>
      </c>
      <c r="K75" s="17">
        <f>J75*Head!$K$12/1000</f>
        <v>4.3020157435469766E-4</v>
      </c>
      <c r="L75" s="17"/>
      <c r="M75" s="8">
        <v>8.7759999999999998</v>
      </c>
      <c r="O75">
        <f t="shared" si="7"/>
        <v>985.06</v>
      </c>
      <c r="P75" s="6">
        <v>-15</v>
      </c>
      <c r="Q75" s="7">
        <v>22.68</v>
      </c>
      <c r="R75" s="8">
        <v>8.0259999999999998</v>
      </c>
      <c r="T75">
        <f t="shared" si="8"/>
        <v>985.06</v>
      </c>
      <c r="U75" s="6">
        <v>-15</v>
      </c>
      <c r="V75" s="7">
        <v>18.62</v>
      </c>
      <c r="W75">
        <v>8.7029999999999994</v>
      </c>
      <c r="X75">
        <v>19.18</v>
      </c>
      <c r="Z75">
        <f t="shared" si="9"/>
        <v>985.06</v>
      </c>
      <c r="AA75" s="6">
        <v>-15</v>
      </c>
      <c r="AB75" s="7">
        <v>39.53</v>
      </c>
      <c r="AC75" s="8">
        <v>8.6280000000000001</v>
      </c>
      <c r="AE75">
        <v>985</v>
      </c>
      <c r="AF75" s="6">
        <v>-15</v>
      </c>
      <c r="AG75" s="7"/>
      <c r="AH75" s="8"/>
      <c r="AJ75">
        <v>985</v>
      </c>
      <c r="AK75" s="6">
        <v>-15</v>
      </c>
      <c r="AL75" s="7"/>
      <c r="AM75" s="8"/>
      <c r="AO75">
        <v>985</v>
      </c>
      <c r="AP75" s="6">
        <v>-15</v>
      </c>
      <c r="AQ75" s="7"/>
      <c r="AR75" s="8"/>
    </row>
    <row r="76" spans="2:44" x14ac:dyDescent="0.25">
      <c r="J76" t="s">
        <v>68</v>
      </c>
      <c r="Q76" t="s">
        <v>68</v>
      </c>
      <c r="V76" t="s">
        <v>68</v>
      </c>
    </row>
    <row r="77" spans="2:44" x14ac:dyDescent="0.25">
      <c r="F77" t="s">
        <v>70</v>
      </c>
      <c r="P77" t="s">
        <v>71</v>
      </c>
    </row>
    <row r="78" spans="2:44" x14ac:dyDescent="0.25">
      <c r="U78" t="s">
        <v>73</v>
      </c>
    </row>
    <row r="80" spans="2:44" x14ac:dyDescent="0.25">
      <c r="B80" t="s">
        <v>56</v>
      </c>
    </row>
    <row r="81" spans="1:17" x14ac:dyDescent="0.25">
      <c r="B81" t="s">
        <v>22</v>
      </c>
      <c r="C81">
        <v>19.7</v>
      </c>
      <c r="D81">
        <v>19.510000000000002</v>
      </c>
      <c r="E81">
        <v>19.690000000000001</v>
      </c>
      <c r="O81" s="11">
        <f>AVERAGE(C81:E81)</f>
        <v>19.633333333333336</v>
      </c>
      <c r="P81" s="11">
        <f>STDEV(C81:E81)</f>
        <v>0.10692676621563549</v>
      </c>
      <c r="Q81" s="12">
        <f>P81/O81</f>
        <v>5.4461850364500236E-3</v>
      </c>
    </row>
    <row r="82" spans="1:17" x14ac:dyDescent="0.25">
      <c r="B82" t="s">
        <v>20</v>
      </c>
      <c r="C82">
        <v>550.5</v>
      </c>
      <c r="D82">
        <v>546.9</v>
      </c>
      <c r="E82">
        <v>552</v>
      </c>
      <c r="O82" s="11">
        <f>AVERAGE(C82:E82)</f>
        <v>549.80000000000007</v>
      </c>
      <c r="P82" s="11">
        <f>STDEV(C82:E82)</f>
        <v>2.6210684844162437</v>
      </c>
      <c r="Q82" s="12">
        <f t="shared" ref="Q82:Q83" si="10">P82/O82</f>
        <v>4.7673126308043715E-3</v>
      </c>
    </row>
    <row r="83" spans="1:17" x14ac:dyDescent="0.25">
      <c r="B83" t="s">
        <v>55</v>
      </c>
      <c r="C83">
        <v>7.3280000000000003</v>
      </c>
      <c r="D83">
        <v>7.6970000000000001</v>
      </c>
      <c r="E83">
        <v>7.452</v>
      </c>
      <c r="O83" s="11">
        <f>AVERAGE(C83:E83)</f>
        <v>7.4923333333333337</v>
      </c>
      <c r="P83" s="11">
        <f>STDEV(C83:E83)</f>
        <v>0.18777735042686403</v>
      </c>
      <c r="Q83" s="12">
        <f t="shared" si="10"/>
        <v>2.5062599603176226E-2</v>
      </c>
    </row>
    <row r="90" spans="1:17" s="29" customFormat="1" x14ac:dyDescent="0.25">
      <c r="A90" s="28" t="s">
        <v>138</v>
      </c>
    </row>
    <row r="98" spans="3:91" x14ac:dyDescent="0.25">
      <c r="C98" s="15" t="s">
        <v>101</v>
      </c>
      <c r="G98" t="s">
        <v>82</v>
      </c>
    </row>
    <row r="99" spans="3:91" x14ac:dyDescent="0.25">
      <c r="W99" s="15" t="s">
        <v>100</v>
      </c>
      <c r="AJ99" s="15" t="s">
        <v>135</v>
      </c>
      <c r="BK99" s="15" t="s">
        <v>126</v>
      </c>
      <c r="CB99" s="15"/>
      <c r="CC99" s="15" t="s">
        <v>115</v>
      </c>
    </row>
    <row r="100" spans="3:91" ht="67.5" customHeight="1" x14ac:dyDescent="0.25">
      <c r="C100" s="18" t="s">
        <v>85</v>
      </c>
      <c r="D100" s="19" t="s">
        <v>83</v>
      </c>
      <c r="E100" s="20" t="s">
        <v>86</v>
      </c>
      <c r="F100" t="s">
        <v>94</v>
      </c>
      <c r="G100" s="18" t="s">
        <v>93</v>
      </c>
      <c r="H100" s="19" t="s">
        <v>83</v>
      </c>
      <c r="I100" s="19" t="s">
        <v>84</v>
      </c>
      <c r="J100" s="19" t="s">
        <v>97</v>
      </c>
      <c r="K100" s="20" t="s">
        <v>86</v>
      </c>
      <c r="L100" s="19" t="s">
        <v>87</v>
      </c>
      <c r="M100" s="19" t="s">
        <v>99</v>
      </c>
      <c r="N100" s="19" t="s">
        <v>95</v>
      </c>
      <c r="O100" s="19" t="s">
        <v>96</v>
      </c>
      <c r="P100" t="s">
        <v>98</v>
      </c>
      <c r="U100" s="18"/>
      <c r="V100" s="20"/>
      <c r="W100" s="18" t="s">
        <v>85</v>
      </c>
      <c r="X100" s="19" t="s">
        <v>83</v>
      </c>
      <c r="Y100" t="s">
        <v>106</v>
      </c>
      <c r="Z100" t="s">
        <v>107</v>
      </c>
      <c r="AA100" t="s">
        <v>80</v>
      </c>
      <c r="AB100" t="s">
        <v>104</v>
      </c>
      <c r="AC100" t="s">
        <v>105</v>
      </c>
      <c r="AD100" t="s">
        <v>94</v>
      </c>
      <c r="AE100" t="s">
        <v>102</v>
      </c>
      <c r="AF100" t="s">
        <v>103</v>
      </c>
      <c r="AJ100" s="18" t="s">
        <v>85</v>
      </c>
      <c r="AK100" s="19" t="s">
        <v>83</v>
      </c>
      <c r="AL100" t="s">
        <v>108</v>
      </c>
      <c r="AM100" t="s">
        <v>106</v>
      </c>
      <c r="AN100" t="s">
        <v>107</v>
      </c>
      <c r="AO100" t="s">
        <v>80</v>
      </c>
      <c r="AP100" t="s">
        <v>104</v>
      </c>
      <c r="AQ100" t="s">
        <v>105</v>
      </c>
      <c r="AR100" t="s">
        <v>94</v>
      </c>
      <c r="AS100" t="s">
        <v>109</v>
      </c>
      <c r="AT100" t="s">
        <v>102</v>
      </c>
      <c r="AU100" t="s">
        <v>103</v>
      </c>
      <c r="BK100" s="18" t="s">
        <v>85</v>
      </c>
      <c r="BL100" s="19" t="s">
        <v>83</v>
      </c>
      <c r="BM100" t="s">
        <v>106</v>
      </c>
      <c r="BN100" t="s">
        <v>107</v>
      </c>
      <c r="BO100" t="s">
        <v>80</v>
      </c>
      <c r="BP100" t="s">
        <v>104</v>
      </c>
      <c r="BQ100" t="s">
        <v>105</v>
      </c>
      <c r="BR100" t="s">
        <v>94</v>
      </c>
      <c r="BS100" t="s">
        <v>102</v>
      </c>
      <c r="BT100" t="s">
        <v>103</v>
      </c>
      <c r="CB100" s="18"/>
      <c r="CC100" s="18" t="s">
        <v>85</v>
      </c>
      <c r="CD100" s="19" t="s">
        <v>83</v>
      </c>
      <c r="CE100" t="s">
        <v>106</v>
      </c>
      <c r="CF100" t="s">
        <v>107</v>
      </c>
      <c r="CG100" t="s">
        <v>132</v>
      </c>
      <c r="CH100" t="s">
        <v>80</v>
      </c>
      <c r="CI100" t="s">
        <v>104</v>
      </c>
      <c r="CJ100" t="s">
        <v>105</v>
      </c>
      <c r="CK100" t="s">
        <v>94</v>
      </c>
      <c r="CL100" t="s">
        <v>102</v>
      </c>
      <c r="CM100" t="s">
        <v>103</v>
      </c>
    </row>
    <row r="101" spans="3:91" x14ac:dyDescent="0.25">
      <c r="C101" s="4">
        <v>10</v>
      </c>
      <c r="D101">
        <v>67.61</v>
      </c>
      <c r="E101" s="17">
        <f>K23</f>
        <v>4.5840706764572279E-3</v>
      </c>
      <c r="F101">
        <f>M23</f>
        <v>30.54</v>
      </c>
      <c r="G101">
        <v>15</v>
      </c>
      <c r="H101">
        <f>D123</f>
        <v>6.3449999999999998</v>
      </c>
      <c r="I101" s="11">
        <f>AVERAGE(H101:H103)</f>
        <v>24.841666666666669</v>
      </c>
      <c r="J101">
        <f>AVERAGE(H100:H102)</f>
        <v>9.9275000000000002</v>
      </c>
      <c r="K101" s="17">
        <f>E123</f>
        <v>4.3020157435469766E-4</v>
      </c>
      <c r="L101" s="17">
        <f>AVERAGE(K101:K103)</f>
        <v>1.6843064002513182E-3</v>
      </c>
      <c r="M101">
        <f>AVERAGE(K100:K102)</f>
        <v>6.7310104482368183E-4</v>
      </c>
      <c r="N101" s="17">
        <f>F123</f>
        <v>8.7759999999999998</v>
      </c>
      <c r="O101" s="17">
        <f>AVERAGE(N101:N103)</f>
        <v>15.068666666666667</v>
      </c>
      <c r="P101">
        <f>AVERAGE(N100:N102)</f>
        <v>11.847999999999999</v>
      </c>
      <c r="U101" s="4"/>
      <c r="V101" s="17"/>
      <c r="W101">
        <v>25</v>
      </c>
      <c r="X101">
        <v>1008</v>
      </c>
      <c r="Y101" s="22">
        <f>AVERAGE(X101:X103)</f>
        <v>1008</v>
      </c>
      <c r="AA101" s="21">
        <f>X101*Pelvis!$I$11/1000</f>
        <v>6.8304714922682863E-2</v>
      </c>
      <c r="AB101" s="17">
        <f>AVERAGE(AA89:AA103)</f>
        <v>6.8304714922682863E-2</v>
      </c>
      <c r="AD101" s="5">
        <v>7.891</v>
      </c>
      <c r="AE101">
        <f>AVERAGE(AD89:AD103)</f>
        <v>7.8910000000000009</v>
      </c>
      <c r="AJ101">
        <v>15</v>
      </c>
      <c r="AL101">
        <f>AK131</f>
        <v>18.62</v>
      </c>
      <c r="AM101" s="22">
        <f>AVERAGE(AL101:AL103)</f>
        <v>87.56</v>
      </c>
      <c r="AN101" s="22">
        <f>AVERAGE(AL100:AL102)</f>
        <v>53.99</v>
      </c>
      <c r="AO101" s="21">
        <f>AL101*Breast!$B$22/1000</f>
        <v>2.66E-3</v>
      </c>
      <c r="AP101" s="17">
        <f>AVERAGE(AO99:AO103)</f>
        <v>1.250857142857143E-2</v>
      </c>
      <c r="AQ101" s="17">
        <f>AVERAGE(AO100:AO102)</f>
        <v>7.7128571428571428E-3</v>
      </c>
      <c r="AR101" s="5"/>
      <c r="AS101">
        <f>AR131</f>
        <v>8.7029999999999994</v>
      </c>
      <c r="AT101">
        <f>AVERAGE(AS99:AS103)</f>
        <v>10.153333333333332</v>
      </c>
      <c r="AU101">
        <f>AVERAGE(AS100:AS102)</f>
        <v>9.754999999999999</v>
      </c>
      <c r="BK101">
        <v>25</v>
      </c>
      <c r="BL101" s="11">
        <f>1008*$BD$114</f>
        <v>84.000000000000014</v>
      </c>
      <c r="BM101" s="22">
        <f>AVERAGE(BL101:BL103)</f>
        <v>84.000000000000014</v>
      </c>
      <c r="BO101" s="21">
        <f>BL101*Head!$K$12/1000</f>
        <v>5.6953399914569909E-3</v>
      </c>
      <c r="BP101" s="17">
        <f>AVERAGE(BO101:BO103)</f>
        <v>5.6953399914569909E-3</v>
      </c>
      <c r="BR101" s="5">
        <v>7.891</v>
      </c>
      <c r="BS101">
        <f>AVERAGE(BR101:BR103)</f>
        <v>7.8910000000000009</v>
      </c>
      <c r="CC101">
        <v>25</v>
      </c>
      <c r="CD101" s="11">
        <f t="shared" ref="CD101:CD116" si="11">1008*$BD$121</f>
        <v>252</v>
      </c>
      <c r="CE101" s="22">
        <f>AVERAGE(CD101:CD103)</f>
        <v>252</v>
      </c>
      <c r="CH101" s="21">
        <f>CD101*Thorax!$K$12/1000</f>
        <v>1.7066464397458993E-2</v>
      </c>
      <c r="CI101" s="17">
        <f>AVERAGE(CH101:CH103)</f>
        <v>1.7066464397458993E-2</v>
      </c>
      <c r="CK101" s="5">
        <v>7.891</v>
      </c>
      <c r="CL101">
        <f>AVERAGE(CK101:CK103)</f>
        <v>7.8910000000000009</v>
      </c>
    </row>
    <row r="102" spans="3:91" x14ac:dyDescent="0.25">
      <c r="C102" s="4">
        <v>9</v>
      </c>
      <c r="D102">
        <v>79.31</v>
      </c>
      <c r="E102" s="17">
        <f>K25</f>
        <v>5.377350175267308E-3</v>
      </c>
      <c r="F102">
        <f>M25</f>
        <v>22.48</v>
      </c>
      <c r="G102">
        <v>14</v>
      </c>
      <c r="H102">
        <f>D122</f>
        <v>13.51</v>
      </c>
      <c r="K102" s="17">
        <f>E122</f>
        <v>9.1600051529266589E-4</v>
      </c>
      <c r="N102" s="17">
        <f>F122</f>
        <v>14.92</v>
      </c>
      <c r="U102" s="4"/>
      <c r="V102" s="17"/>
      <c r="W102" s="4">
        <v>24</v>
      </c>
      <c r="X102">
        <v>1008</v>
      </c>
      <c r="Z102" s="22">
        <f>AVERAGE(X101:X103)</f>
        <v>1008</v>
      </c>
      <c r="AA102" s="21">
        <f>X102*Pelvis!$I$11/1000</f>
        <v>6.8304714922682863E-2</v>
      </c>
      <c r="AC102" s="17">
        <f>AVERAGE(AA101:AA103)</f>
        <v>6.8304714922682863E-2</v>
      </c>
      <c r="AD102" s="5">
        <v>7.891</v>
      </c>
      <c r="AF102">
        <f>AVERAGE(AD91:AD103)</f>
        <v>7.8910000000000009</v>
      </c>
      <c r="AJ102">
        <v>14</v>
      </c>
      <c r="AL102">
        <f>AK130</f>
        <v>89.36</v>
      </c>
      <c r="AM102" s="22"/>
      <c r="AO102" s="21">
        <f>AL102*Breast!$B$22/1000</f>
        <v>1.2765714285714285E-2</v>
      </c>
      <c r="AP102" s="17"/>
      <c r="AQ102" s="17"/>
      <c r="AR102" s="5"/>
      <c r="AS102">
        <f>AR130</f>
        <v>10.807</v>
      </c>
      <c r="BC102" t="s">
        <v>111</v>
      </c>
      <c r="BK102" s="4">
        <v>24</v>
      </c>
      <c r="BL102" s="11">
        <f t="shared" ref="BL102:BL116" si="12">1008*$BD$114</f>
        <v>84.000000000000014</v>
      </c>
      <c r="BN102" s="22">
        <f>AVERAGE(BL91:BL103)</f>
        <v>84.000000000000014</v>
      </c>
      <c r="BO102" s="21">
        <f>BL102*Head!$K$12/1000</f>
        <v>5.6953399914569909E-3</v>
      </c>
      <c r="BQ102" s="17">
        <f>AVERAGE(BO101:BO103)</f>
        <v>5.6953399914569909E-3</v>
      </c>
      <c r="BR102" s="5">
        <v>7.891</v>
      </c>
      <c r="BT102">
        <f>AVERAGE(BR101:BR103)</f>
        <v>7.8910000000000009</v>
      </c>
      <c r="CA102" s="21"/>
      <c r="CB102" s="21"/>
      <c r="CC102" s="4">
        <v>24</v>
      </c>
      <c r="CD102" s="11">
        <f t="shared" si="11"/>
        <v>252</v>
      </c>
      <c r="CF102" s="22">
        <f>AVERAGE(CD91:CD103)</f>
        <v>252</v>
      </c>
      <c r="CH102" s="21">
        <f>CD102*Thorax!$K$12/1000</f>
        <v>1.7066464397458993E-2</v>
      </c>
      <c r="CJ102" s="17">
        <f>AVERAGE(CH101:CH103)</f>
        <v>1.7066464397458993E-2</v>
      </c>
      <c r="CK102" s="5">
        <v>7.891</v>
      </c>
      <c r="CM102">
        <f>AVERAGE(CK101:CK103)</f>
        <v>7.8910000000000009</v>
      </c>
    </row>
    <row r="103" spans="3:91" x14ac:dyDescent="0.25">
      <c r="C103" s="4">
        <v>8</v>
      </c>
      <c r="D103">
        <v>124</v>
      </c>
      <c r="E103" s="17">
        <f>K29</f>
        <v>8.4074066540555555E-3</v>
      </c>
      <c r="F103">
        <f>M29</f>
        <v>25.85</v>
      </c>
      <c r="G103">
        <v>13</v>
      </c>
      <c r="H103">
        <f>D121</f>
        <v>54.67</v>
      </c>
      <c r="K103" s="17">
        <f>E121</f>
        <v>3.7067171111065914E-3</v>
      </c>
      <c r="N103" s="17">
        <f>F121</f>
        <v>21.51</v>
      </c>
      <c r="U103" s="4"/>
      <c r="V103" s="17"/>
      <c r="W103">
        <v>23</v>
      </c>
      <c r="X103">
        <v>1008</v>
      </c>
      <c r="AA103" s="21">
        <f>X103*Pelvis!$I$11/1000</f>
        <v>6.8304714922682863E-2</v>
      </c>
      <c r="AD103" s="5">
        <v>7.891</v>
      </c>
      <c r="AJ103">
        <v>13</v>
      </c>
      <c r="AL103">
        <f>AK129</f>
        <v>154.69999999999999</v>
      </c>
      <c r="AM103" s="22"/>
      <c r="AO103" s="21">
        <f>AL103*Breast!$B$22/1000</f>
        <v>2.2099999999999998E-2</v>
      </c>
      <c r="AP103" s="17"/>
      <c r="AQ103" s="17"/>
      <c r="AR103" s="5"/>
      <c r="AS103">
        <f>AR129</f>
        <v>10.95</v>
      </c>
      <c r="BK103">
        <v>23</v>
      </c>
      <c r="BL103" s="11">
        <f t="shared" si="12"/>
        <v>84.000000000000014</v>
      </c>
      <c r="BO103" s="21">
        <f>BL103*Head!$K$12/1000</f>
        <v>5.6953399914569909E-3</v>
      </c>
      <c r="BR103" s="5">
        <v>7.891</v>
      </c>
      <c r="CA103" s="21"/>
      <c r="CB103" s="21"/>
      <c r="CC103">
        <v>23</v>
      </c>
      <c r="CD103" s="11">
        <f t="shared" si="11"/>
        <v>252</v>
      </c>
      <c r="CH103" s="21">
        <f>CD103*Thorax!$K$12/1000</f>
        <v>1.7066464397458993E-2</v>
      </c>
      <c r="CK103" s="5">
        <v>7.891</v>
      </c>
    </row>
    <row r="104" spans="3:91" x14ac:dyDescent="0.25">
      <c r="C104" s="4">
        <v>7</v>
      </c>
      <c r="D104">
        <v>200.7</v>
      </c>
      <c r="E104" s="17">
        <f>K31</f>
        <v>1.3607794479588309E-2</v>
      </c>
      <c r="F104">
        <f>M31</f>
        <v>16.11</v>
      </c>
      <c r="G104">
        <v>12</v>
      </c>
      <c r="H104">
        <f>D120</f>
        <v>58.72</v>
      </c>
      <c r="J104">
        <f>AVERAGE(H103:H105)</f>
        <v>58.073333333333331</v>
      </c>
      <c r="K104" s="17">
        <f>E120</f>
        <v>3.9813138606946963E-3</v>
      </c>
      <c r="M104">
        <f>AVERAGE(K103:K105)</f>
        <v>3.937468782982686E-3</v>
      </c>
      <c r="N104" s="17">
        <f>F120</f>
        <v>26.5</v>
      </c>
      <c r="P104">
        <f>AVERAGE(N103:N105)</f>
        <v>24.47666666666667</v>
      </c>
      <c r="U104" s="4"/>
      <c r="V104" s="17"/>
      <c r="W104">
        <v>22</v>
      </c>
      <c r="X104">
        <v>1008</v>
      </c>
      <c r="AA104" s="21">
        <f>X104*Pelvis!$I$11/1000</f>
        <v>6.8304714922682863E-2</v>
      </c>
      <c r="AD104" s="5">
        <v>7.891</v>
      </c>
      <c r="AJ104">
        <v>12</v>
      </c>
      <c r="AL104">
        <f>AK128</f>
        <v>163.1</v>
      </c>
      <c r="AM104" s="22"/>
      <c r="AN104" s="22">
        <f>AVERAGE(AL103:AL105)</f>
        <v>163.53333333333333</v>
      </c>
      <c r="AO104" s="21">
        <f>AL104*Breast!$B$22/1000</f>
        <v>2.3299999999999998E-2</v>
      </c>
      <c r="AP104" s="17"/>
      <c r="AQ104" s="17">
        <f>AVERAGE(AO103:AO105)</f>
        <v>2.3361904761904761E-2</v>
      </c>
      <c r="AR104" s="5"/>
      <c r="AS104">
        <f>AR128</f>
        <v>11.227</v>
      </c>
      <c r="AU104">
        <f>AVERAGE(AS103:AS105)</f>
        <v>10.935333333333332</v>
      </c>
      <c r="BC104" s="15" t="s">
        <v>29</v>
      </c>
      <c r="BK104">
        <v>22</v>
      </c>
      <c r="BL104" s="11">
        <f t="shared" si="12"/>
        <v>84.000000000000014</v>
      </c>
      <c r="BO104" s="21">
        <f>BL104*Head!$K$12/1000</f>
        <v>5.6953399914569909E-3</v>
      </c>
      <c r="BR104" s="5">
        <v>7.891</v>
      </c>
      <c r="CA104" s="21"/>
      <c r="CB104" s="21"/>
      <c r="CC104">
        <v>22</v>
      </c>
      <c r="CD104" s="11">
        <f t="shared" si="11"/>
        <v>252</v>
      </c>
      <c r="CH104" s="21">
        <f>CD104*Thorax!$K$12/1000</f>
        <v>1.7066464397458993E-2</v>
      </c>
      <c r="CK104" s="5">
        <v>7.891</v>
      </c>
    </row>
    <row r="105" spans="3:91" x14ac:dyDescent="0.25">
      <c r="C105" s="4">
        <v>6</v>
      </c>
      <c r="D105">
        <v>256.60000000000002</v>
      </c>
      <c r="E105" s="17">
        <f>K33</f>
        <v>1.739790764056981E-2</v>
      </c>
      <c r="F105">
        <f>M33</f>
        <v>16.75</v>
      </c>
      <c r="G105">
        <v>11</v>
      </c>
      <c r="H105">
        <f>D119</f>
        <v>60.83</v>
      </c>
      <c r="K105" s="17">
        <f>E119</f>
        <v>4.12437537714677E-3</v>
      </c>
      <c r="N105" s="17">
        <f>F119</f>
        <v>25.42</v>
      </c>
      <c r="U105" s="4"/>
      <c r="V105" s="17"/>
      <c r="W105">
        <v>21</v>
      </c>
      <c r="X105">
        <v>1008</v>
      </c>
      <c r="Z105" s="22">
        <f>AVERAGE(X104:X106)</f>
        <v>1008</v>
      </c>
      <c r="AA105" s="21">
        <f>X105*Pelvis!$I$11/1000</f>
        <v>6.8304714922682863E-2</v>
      </c>
      <c r="AC105" s="17">
        <f>AVERAGE(AA104:AA106)</f>
        <v>6.8304714922682863E-2</v>
      </c>
      <c r="AD105" s="5">
        <v>7.891</v>
      </c>
      <c r="AF105">
        <f>AVERAGE(AD94:AD106)</f>
        <v>7.8909999999999991</v>
      </c>
      <c r="AJ105">
        <v>11</v>
      </c>
      <c r="AL105">
        <f>AK127</f>
        <v>172.8</v>
      </c>
      <c r="AM105" s="22"/>
      <c r="AO105" s="21">
        <f>AL105*Breast!$B$22/1000</f>
        <v>2.4685714285714287E-2</v>
      </c>
      <c r="AP105" s="17"/>
      <c r="AQ105" s="17"/>
      <c r="AR105" s="5"/>
      <c r="AS105">
        <f>AR127</f>
        <v>10.629</v>
      </c>
      <c r="BC105" t="s">
        <v>11</v>
      </c>
      <c r="BD105">
        <v>60</v>
      </c>
      <c r="BK105">
        <v>21</v>
      </c>
      <c r="BL105" s="11">
        <f t="shared" si="12"/>
        <v>84.000000000000014</v>
      </c>
      <c r="BN105" s="22">
        <f>AVERAGE(BL94:BL106)</f>
        <v>84.000000000000014</v>
      </c>
      <c r="BO105" s="21">
        <f>BL105*Head!$K$12/1000</f>
        <v>5.6953399914569909E-3</v>
      </c>
      <c r="BQ105" s="17">
        <f>AVERAGE(BO104:BO106)</f>
        <v>5.6953399914569909E-3</v>
      </c>
      <c r="BR105" s="5">
        <v>7.891</v>
      </c>
      <c r="BT105">
        <f>AVERAGE(BR104:BR106)</f>
        <v>7.8910000000000009</v>
      </c>
      <c r="CA105" s="21"/>
      <c r="CB105" s="21"/>
      <c r="CC105">
        <v>21</v>
      </c>
      <c r="CD105" s="11">
        <f t="shared" si="11"/>
        <v>252</v>
      </c>
      <c r="CF105" s="22">
        <f>AVERAGE(CD94:CD106)</f>
        <v>252</v>
      </c>
      <c r="CH105" s="21">
        <f>CD105*Thorax!$K$12/1000</f>
        <v>1.7066464397458993E-2</v>
      </c>
      <c r="CJ105" s="17">
        <f>AVERAGE(CH104:CH106)</f>
        <v>1.7066464397458993E-2</v>
      </c>
      <c r="CK105" s="5">
        <v>7.891</v>
      </c>
      <c r="CM105">
        <f>AVERAGE(CK104:CK106)</f>
        <v>7.8910000000000009</v>
      </c>
    </row>
    <row r="106" spans="3:91" x14ac:dyDescent="0.25">
      <c r="C106" s="4">
        <v>5</v>
      </c>
      <c r="D106">
        <v>312.7</v>
      </c>
      <c r="E106" s="17">
        <f>K35</f>
        <v>2.1201581134864294E-2</v>
      </c>
      <c r="F106">
        <f>M35</f>
        <v>14.16</v>
      </c>
      <c r="G106" s="4">
        <v>10</v>
      </c>
      <c r="H106">
        <f>MAX(D118,D101)</f>
        <v>67.61</v>
      </c>
      <c r="I106" s="11">
        <f>AVERAGE(H104:H108)</f>
        <v>78.094000000000008</v>
      </c>
      <c r="K106" s="17">
        <f>MAX(E101,E118)</f>
        <v>4.5840706764572279E-3</v>
      </c>
      <c r="L106" s="17">
        <f>AVERAGE(K104:K108)</f>
        <v>5.2949033487243117E-3</v>
      </c>
      <c r="N106" s="17">
        <f>MAX(F101,F118)</f>
        <v>30.54</v>
      </c>
      <c r="O106" s="17">
        <f>AVERAGE(N104:N108)</f>
        <v>26.296000000000003</v>
      </c>
      <c r="U106" s="4"/>
      <c r="V106" s="17"/>
      <c r="W106">
        <v>20</v>
      </c>
      <c r="X106">
        <v>1008</v>
      </c>
      <c r="Y106" s="22">
        <f>AVERAGE(X106:X108)</f>
        <v>1008</v>
      </c>
      <c r="AA106" s="21">
        <f>X106*Pelvis!$I$11/1000</f>
        <v>6.8304714922682863E-2</v>
      </c>
      <c r="AB106" s="17">
        <f>AVERAGE(AA94:AA108)</f>
        <v>6.8304714922682863E-2</v>
      </c>
      <c r="AD106" s="5">
        <v>7.891</v>
      </c>
      <c r="AE106">
        <f>AVERAGE(AD94:AD108)</f>
        <v>7.8909999999999991</v>
      </c>
      <c r="AJ106" s="4">
        <v>10</v>
      </c>
      <c r="AK106">
        <v>196.3</v>
      </c>
      <c r="AL106">
        <f>MAX(AK106,AK126)</f>
        <v>196.3</v>
      </c>
      <c r="AM106" s="22">
        <f>AVERAGE(AL104:AL108)</f>
        <v>216.64000000000001</v>
      </c>
      <c r="AO106" s="21">
        <f>AL106*Breast!$B$22/1000</f>
        <v>2.8042857142857144E-2</v>
      </c>
      <c r="AP106" s="17">
        <f>AVERAGE(AO104:AO108)</f>
        <v>3.0948571428571426E-2</v>
      </c>
      <c r="AQ106" s="17"/>
      <c r="AR106" s="5">
        <v>10.67</v>
      </c>
      <c r="AS106">
        <f>MAX(AR106,AR126)</f>
        <v>11.16</v>
      </c>
      <c r="AT106">
        <f>AVERAGE(AS104:AS108)</f>
        <v>10.927800000000001</v>
      </c>
      <c r="BC106" t="s">
        <v>12</v>
      </c>
      <c r="BD106">
        <v>20</v>
      </c>
      <c r="BK106">
        <v>20</v>
      </c>
      <c r="BL106" s="11">
        <f t="shared" si="12"/>
        <v>84.000000000000014</v>
      </c>
      <c r="BM106" s="22">
        <f>AVERAGE(BL104:BL108)</f>
        <v>84.000000000000014</v>
      </c>
      <c r="BO106" s="21">
        <f>BL106*Head!$K$12/1000</f>
        <v>5.6953399914569909E-3</v>
      </c>
      <c r="BP106" s="17">
        <f>AVERAGE(BO104:BO108)</f>
        <v>5.6953399914569909E-3</v>
      </c>
      <c r="BR106" s="5">
        <v>7.891</v>
      </c>
      <c r="BS106">
        <f>AVERAGE(BR104:BR108)</f>
        <v>7.891</v>
      </c>
      <c r="CA106" s="21"/>
      <c r="CB106" s="21"/>
      <c r="CC106">
        <v>20</v>
      </c>
      <c r="CD106" s="11">
        <f t="shared" si="11"/>
        <v>252</v>
      </c>
      <c r="CE106" s="22">
        <f>AVERAGE(CD104:CD108)</f>
        <v>252</v>
      </c>
      <c r="CH106" s="21">
        <f>CD106*Thorax!$K$12/1000</f>
        <v>1.7066464397458993E-2</v>
      </c>
      <c r="CI106" s="17">
        <f>AVERAGE(CH104:CH108)</f>
        <v>1.7066464397458993E-2</v>
      </c>
      <c r="CK106" s="5">
        <v>7.891</v>
      </c>
      <c r="CL106">
        <f>AVERAGE(CK104:CK108)</f>
        <v>7.891</v>
      </c>
    </row>
    <row r="107" spans="3:91" x14ac:dyDescent="0.25">
      <c r="C107" s="4">
        <v>4</v>
      </c>
      <c r="D107">
        <v>362</v>
      </c>
      <c r="E107" s="17">
        <f>K37</f>
        <v>2.454420329651703E-2</v>
      </c>
      <c r="F107">
        <f>M37</f>
        <v>13.04</v>
      </c>
      <c r="G107" s="4">
        <v>9</v>
      </c>
      <c r="H107">
        <f>MAX(D117,D102)</f>
        <v>79.31</v>
      </c>
      <c r="I107" s="11"/>
      <c r="J107">
        <f>AVERAGE(H106:H108)</f>
        <v>90.306666666666672</v>
      </c>
      <c r="K107" s="17">
        <f>MAX(E102,E117)</f>
        <v>5.377350175267308E-3</v>
      </c>
      <c r="M107">
        <f>AVERAGE(K106:K108)</f>
        <v>6.1229425019266974E-3</v>
      </c>
      <c r="N107" s="17">
        <f>MAX(F102,F117)</f>
        <v>23.17</v>
      </c>
      <c r="P107">
        <f>AVERAGE(N106:N108)</f>
        <v>26.52</v>
      </c>
      <c r="U107" s="4"/>
      <c r="V107" s="17"/>
      <c r="W107">
        <v>19</v>
      </c>
      <c r="X107">
        <v>1008</v>
      </c>
      <c r="AA107" s="21">
        <f>X107*Pelvis!$I$11/1000</f>
        <v>6.8304714922682863E-2</v>
      </c>
      <c r="AD107" s="5">
        <v>7.891</v>
      </c>
      <c r="AJ107">
        <v>9</v>
      </c>
      <c r="AK107">
        <v>221.6</v>
      </c>
      <c r="AL107">
        <f>MAX(AK107,AK125)</f>
        <v>221.6</v>
      </c>
      <c r="AM107" s="22"/>
      <c r="AN107" s="22">
        <f>AVERAGE(AL106:AL108)</f>
        <v>249.1</v>
      </c>
      <c r="AO107" s="21">
        <f>AL107*Breast!$B$22/1000</f>
        <v>3.1657142857142856E-2</v>
      </c>
      <c r="AP107" s="17"/>
      <c r="AQ107" s="17">
        <f>AVERAGE(AO106:AO108)</f>
        <v>3.5585714285714283E-2</v>
      </c>
      <c r="AR107" s="5">
        <v>10.680999999999999</v>
      </c>
      <c r="AS107">
        <f>MAX(AR107,AR125)</f>
        <v>10.867000000000001</v>
      </c>
      <c r="AU107">
        <f>AVERAGE(AS106:AS108)</f>
        <v>10.927666666666667</v>
      </c>
      <c r="BC107" t="s">
        <v>113</v>
      </c>
      <c r="BD107">
        <f>BD105*BD106*10^-3</f>
        <v>1.2</v>
      </c>
      <c r="BK107">
        <v>19</v>
      </c>
      <c r="BL107" s="11">
        <f t="shared" si="12"/>
        <v>84.000000000000014</v>
      </c>
      <c r="BO107" s="21">
        <f>BL107*Head!$K$12/1000</f>
        <v>5.6953399914569909E-3</v>
      </c>
      <c r="BR107" s="5">
        <v>7.891</v>
      </c>
      <c r="CA107" s="21"/>
      <c r="CB107" s="21"/>
      <c r="CC107">
        <v>19</v>
      </c>
      <c r="CD107" s="11">
        <f t="shared" si="11"/>
        <v>252</v>
      </c>
      <c r="CH107" s="21">
        <f>CD107*Thorax!$K$12/1000</f>
        <v>1.7066464397458993E-2</v>
      </c>
      <c r="CK107" s="5">
        <v>7.891</v>
      </c>
    </row>
    <row r="108" spans="3:91" x14ac:dyDescent="0.25">
      <c r="C108" s="4">
        <v>3</v>
      </c>
      <c r="D108">
        <v>399.2</v>
      </c>
      <c r="E108" s="17">
        <f>K39</f>
        <v>2.7066425292733693E-2</v>
      </c>
      <c r="F108">
        <f>M39</f>
        <v>11.71</v>
      </c>
      <c r="G108" s="4">
        <v>8</v>
      </c>
      <c r="H108">
        <f>MAX(D116,D103)</f>
        <v>124</v>
      </c>
      <c r="I108" s="11"/>
      <c r="K108" s="17">
        <f>MAX(E103,E116)</f>
        <v>8.4074066540555555E-3</v>
      </c>
      <c r="N108" s="17">
        <f>MAX(F103,F116)</f>
        <v>25.85</v>
      </c>
      <c r="U108" s="4"/>
      <c r="V108" s="17"/>
      <c r="W108">
        <v>18</v>
      </c>
      <c r="X108">
        <v>1008</v>
      </c>
      <c r="Z108" s="22">
        <f>AVERAGE(X107:X109)</f>
        <v>1008</v>
      </c>
      <c r="AA108" s="21">
        <f>X108*Pelvis!$I$11/1000</f>
        <v>6.8304714922682863E-2</v>
      </c>
      <c r="AC108" s="17">
        <f>AVERAGE(AA107:AA109)</f>
        <v>6.8304714922682863E-2</v>
      </c>
      <c r="AD108" s="5">
        <v>7.891</v>
      </c>
      <c r="AF108">
        <f>AVERAGE(AD97:AD109)</f>
        <v>7.8909999999999991</v>
      </c>
      <c r="AJ108" s="4">
        <v>8</v>
      </c>
      <c r="AK108">
        <v>329.4</v>
      </c>
      <c r="AL108">
        <f>MAX(AK108,AK124)</f>
        <v>329.4</v>
      </c>
      <c r="AM108" s="22"/>
      <c r="AO108" s="21">
        <f>AL108*Breast!$B$22/1000</f>
        <v>4.7057142857142853E-2</v>
      </c>
      <c r="AP108" s="17"/>
      <c r="AQ108" s="17"/>
      <c r="AR108" s="5">
        <v>10.101000000000001</v>
      </c>
      <c r="AS108">
        <f>MAX(AR108,AR124)</f>
        <v>10.756</v>
      </c>
      <c r="BK108">
        <v>18</v>
      </c>
      <c r="BL108" s="11">
        <f t="shared" si="12"/>
        <v>84.000000000000014</v>
      </c>
      <c r="BN108" s="22">
        <f>AVERAGE(BL97:BL109)</f>
        <v>84.000000000000014</v>
      </c>
      <c r="BO108" s="21">
        <f>BL108*Head!$K$12/1000</f>
        <v>5.6953399914569909E-3</v>
      </c>
      <c r="BQ108" s="17">
        <f>AVERAGE(BO107:BO109)</f>
        <v>5.6953399914569909E-3</v>
      </c>
      <c r="BR108" s="5">
        <v>7.891</v>
      </c>
      <c r="BT108">
        <f>AVERAGE(BR107:BR109)</f>
        <v>7.8910000000000009</v>
      </c>
      <c r="CA108" s="21"/>
      <c r="CB108" s="21"/>
      <c r="CC108">
        <v>18</v>
      </c>
      <c r="CD108" s="11">
        <f t="shared" si="11"/>
        <v>252</v>
      </c>
      <c r="CF108" s="22">
        <f>AVERAGE(CD97:CD109)</f>
        <v>252</v>
      </c>
      <c r="CH108" s="21">
        <f>CD108*Thorax!$K$12/1000</f>
        <v>1.7066464397458993E-2</v>
      </c>
      <c r="CJ108" s="17">
        <f>AVERAGE(CH107:CH109)</f>
        <v>1.7066464397458993E-2</v>
      </c>
      <c r="CK108" s="5">
        <v>7.891</v>
      </c>
      <c r="CM108">
        <f>AVERAGE(CK107:CK109)</f>
        <v>7.8910000000000009</v>
      </c>
    </row>
    <row r="109" spans="3:91" x14ac:dyDescent="0.25">
      <c r="C109" s="4">
        <v>2</v>
      </c>
      <c r="D109">
        <v>430</v>
      </c>
      <c r="E109" s="17">
        <f>K41</f>
        <v>2.9154716622934593E-2</v>
      </c>
      <c r="F109">
        <f>M41</f>
        <v>11.61</v>
      </c>
      <c r="G109" s="4">
        <v>7</v>
      </c>
      <c r="H109">
        <f>MAX(D115,D104)</f>
        <v>200.7</v>
      </c>
      <c r="I109" s="11"/>
      <c r="K109" s="17">
        <f>MAX(E104,E115)</f>
        <v>1.3607794479588309E-2</v>
      </c>
      <c r="N109" s="17">
        <f>MAX(F104,F115)</f>
        <v>19.55</v>
      </c>
      <c r="U109" s="4"/>
      <c r="V109" s="17"/>
      <c r="W109" s="4">
        <v>17</v>
      </c>
      <c r="X109">
        <v>1008</v>
      </c>
      <c r="AA109" s="21">
        <f>X109*Pelvis!$I$11/1000</f>
        <v>6.8304714922682863E-2</v>
      </c>
      <c r="AD109" s="5">
        <v>7.891</v>
      </c>
      <c r="AJ109" s="4">
        <v>7</v>
      </c>
      <c r="AK109">
        <v>501.2</v>
      </c>
      <c r="AL109">
        <f>MAX(AK109,AK123)</f>
        <v>501.2</v>
      </c>
      <c r="AM109" s="22"/>
      <c r="AO109" s="21">
        <f>AL109*Breast!$B$22/1000</f>
        <v>7.1599999999999997E-2</v>
      </c>
      <c r="AP109" s="17"/>
      <c r="AQ109" s="17"/>
      <c r="AR109" s="5">
        <v>9.641</v>
      </c>
      <c r="AS109">
        <f>MAX(AR109,AR123)</f>
        <v>10.093999999999999</v>
      </c>
      <c r="BK109" s="4">
        <v>17</v>
      </c>
      <c r="BL109" s="11">
        <f t="shared" si="12"/>
        <v>84.000000000000014</v>
      </c>
      <c r="BO109" s="21">
        <f>BL109*Head!$K$12/1000</f>
        <v>5.6953399914569909E-3</v>
      </c>
      <c r="BR109" s="5">
        <v>7.891</v>
      </c>
      <c r="CA109" s="21"/>
      <c r="CB109" s="21"/>
      <c r="CC109" s="4">
        <v>17</v>
      </c>
      <c r="CD109" s="11">
        <f t="shared" si="11"/>
        <v>252</v>
      </c>
      <c r="CH109" s="21">
        <f>CD109*Thorax!$K$12/1000</f>
        <v>1.7066464397458993E-2</v>
      </c>
      <c r="CK109" s="5">
        <v>7.891</v>
      </c>
    </row>
    <row r="110" spans="3:91" x14ac:dyDescent="0.25">
      <c r="C110" s="4">
        <v>1</v>
      </c>
      <c r="D110">
        <v>443.3</v>
      </c>
      <c r="E110" s="17">
        <f>K43</f>
        <v>3.005647878824862E-2</v>
      </c>
      <c r="F110">
        <f>M43</f>
        <v>10.77</v>
      </c>
      <c r="G110" s="4">
        <v>6</v>
      </c>
      <c r="H110">
        <f>MAX(D105,D105)</f>
        <v>256.60000000000002</v>
      </c>
      <c r="I110" s="11"/>
      <c r="J110">
        <f>AVERAGE(H109:H111)</f>
        <v>256.66666666666669</v>
      </c>
      <c r="K110" s="17">
        <f>E105</f>
        <v>1.739790764056981E-2</v>
      </c>
      <c r="M110">
        <f>AVERAGE(K109:K111)</f>
        <v>1.7402427751674138E-2</v>
      </c>
      <c r="N110" s="17">
        <f>F105</f>
        <v>16.75</v>
      </c>
      <c r="P110">
        <f>AVERAGE(N109:N111)</f>
        <v>18.313333333333333</v>
      </c>
      <c r="U110" s="4"/>
      <c r="V110" s="17"/>
      <c r="W110">
        <v>16</v>
      </c>
      <c r="X110">
        <v>1008</v>
      </c>
      <c r="AA110" s="21">
        <f>X110*Pelvis!$I$11/1000</f>
        <v>6.8304714922682863E-2</v>
      </c>
      <c r="AD110" s="5">
        <v>7.891</v>
      </c>
      <c r="AJ110" s="4">
        <v>6</v>
      </c>
      <c r="AK110">
        <v>628.9</v>
      </c>
      <c r="AL110">
        <f>MAX(AK110,AK122)</f>
        <v>628.9</v>
      </c>
      <c r="AM110" s="22"/>
      <c r="AN110" s="22">
        <f>AVERAGE(AL109:AL111)</f>
        <v>565.04999999999995</v>
      </c>
      <c r="AO110" s="21">
        <f>AL110*Breast!$B$22/1000</f>
        <v>8.9842857142857141E-2</v>
      </c>
      <c r="AP110" s="17"/>
      <c r="AQ110" s="17">
        <f>AVERAGE(AO109:AO111)</f>
        <v>8.0721428571428569E-2</v>
      </c>
      <c r="AR110" s="5">
        <v>9.1460000000000008</v>
      </c>
      <c r="AS110">
        <f>MAX(AR110,AR122)</f>
        <v>9.6069999999999993</v>
      </c>
      <c r="AU110">
        <f>AVERAGE(AS109:AS111)</f>
        <v>9.8505000000000003</v>
      </c>
      <c r="BC110" s="15" t="s">
        <v>112</v>
      </c>
      <c r="BK110">
        <v>16</v>
      </c>
      <c r="BL110" s="11">
        <f t="shared" si="12"/>
        <v>84.000000000000014</v>
      </c>
      <c r="BO110" s="21">
        <f>BL110*Head!$K$12/1000</f>
        <v>5.6953399914569909E-3</v>
      </c>
      <c r="BR110" s="5">
        <v>7.891</v>
      </c>
      <c r="CA110" s="21"/>
      <c r="CB110" s="21"/>
      <c r="CC110">
        <v>16</v>
      </c>
      <c r="CD110" s="11">
        <f t="shared" si="11"/>
        <v>252</v>
      </c>
      <c r="CH110" s="21">
        <f>CD110*Thorax!$K$12/1000</f>
        <v>1.7066464397458993E-2</v>
      </c>
      <c r="CK110" s="5">
        <v>7.891</v>
      </c>
    </row>
    <row r="111" spans="3:91" x14ac:dyDescent="0.25">
      <c r="C111" s="4">
        <v>0</v>
      </c>
      <c r="D111">
        <v>447.2</v>
      </c>
      <c r="E111" s="17">
        <f>K45</f>
        <v>3.0320905287851974E-2</v>
      </c>
      <c r="F111">
        <f>M45</f>
        <v>11.57</v>
      </c>
      <c r="G111" s="4">
        <v>5</v>
      </c>
      <c r="H111">
        <f>MAX(D114,D106)</f>
        <v>312.7</v>
      </c>
      <c r="I111" s="11">
        <f>AVERAGE(H109:H113)</f>
        <v>306.24</v>
      </c>
      <c r="K111" s="17">
        <f>MAX(E106,E114)</f>
        <v>2.1201581134864294E-2</v>
      </c>
      <c r="L111" s="17">
        <f>AVERAGE(K109:K113)</f>
        <v>2.0763582368854627E-2</v>
      </c>
      <c r="N111" s="17">
        <f>MAX(F106,F114)</f>
        <v>18.64</v>
      </c>
      <c r="O111" s="17">
        <f>AVERAGE(N109:N113)</f>
        <v>15.965999999999998</v>
      </c>
      <c r="U111" s="4"/>
      <c r="V111" s="17"/>
      <c r="W111">
        <v>15</v>
      </c>
      <c r="X111">
        <v>1008</v>
      </c>
      <c r="Y111" s="22">
        <f>AVERAGE(X111:X113)</f>
        <v>1008</v>
      </c>
      <c r="Z111" s="22">
        <f>AVERAGE(X110:X112)</f>
        <v>1008</v>
      </c>
      <c r="AA111" s="21">
        <f>X111*Pelvis!$I$11/1000</f>
        <v>6.8304714922682863E-2</v>
      </c>
      <c r="AB111" s="17">
        <f>AVERAGE(AA99:AA113)</f>
        <v>6.8304714922682863E-2</v>
      </c>
      <c r="AC111" s="17">
        <f>AVERAGE(AA110:AA112)</f>
        <v>6.8304714922682863E-2</v>
      </c>
      <c r="AD111" s="5">
        <v>7.891</v>
      </c>
      <c r="AE111">
        <f>AVERAGE(AD99:AD113)</f>
        <v>7.8910000000000009</v>
      </c>
      <c r="AF111">
        <f>AVERAGE(AD100:AD112)</f>
        <v>7.8910000000000009</v>
      </c>
      <c r="AJ111" s="4">
        <v>5</v>
      </c>
      <c r="AM111" s="22">
        <f>AVERAGE(AL109:AL113)</f>
        <v>655.23333333333323</v>
      </c>
      <c r="AO111" s="21"/>
      <c r="AP111" s="17">
        <f>AVERAGE(AO109:AO113)</f>
        <v>9.3604761904761899E-2</v>
      </c>
      <c r="AQ111" s="17"/>
      <c r="AR111" s="5"/>
      <c r="AT111">
        <f>AVERAGE(AS109:AS113)</f>
        <v>9.4466666666666672</v>
      </c>
      <c r="BC111" t="s">
        <v>11</v>
      </c>
      <c r="BD111">
        <v>10</v>
      </c>
      <c r="BK111">
        <v>15</v>
      </c>
      <c r="BL111" s="11">
        <f t="shared" si="12"/>
        <v>84.000000000000014</v>
      </c>
      <c r="BM111" s="22">
        <f>AVERAGE(BL109:BL113)</f>
        <v>84.000000000000014</v>
      </c>
      <c r="BN111" s="22">
        <f>AVERAGE(BL100:BL112)</f>
        <v>84.000000000000014</v>
      </c>
      <c r="BO111" s="21">
        <f>BL111*Head!$K$12/1000</f>
        <v>5.6953399914569909E-3</v>
      </c>
      <c r="BP111" s="17">
        <f>AVERAGE(BO109:BO113)</f>
        <v>5.6953399914569909E-3</v>
      </c>
      <c r="BQ111" s="17">
        <f>AVERAGE(BO110:BO112)</f>
        <v>5.6953399914569909E-3</v>
      </c>
      <c r="BR111" s="5">
        <v>7.891</v>
      </c>
      <c r="BS111">
        <f>AVERAGE(BR109:BR113)</f>
        <v>7.891</v>
      </c>
      <c r="BT111">
        <f>AVERAGE(BR110:BR112)</f>
        <v>7.8910000000000009</v>
      </c>
      <c r="CA111" s="21"/>
      <c r="CB111" s="21"/>
      <c r="CC111">
        <v>15</v>
      </c>
      <c r="CD111" s="11">
        <f t="shared" si="11"/>
        <v>252</v>
      </c>
      <c r="CE111" s="22">
        <f>AVERAGE(CD109:CD113)</f>
        <v>252</v>
      </c>
      <c r="CF111" s="22">
        <f>AVERAGE(CD100:CD112)</f>
        <v>252</v>
      </c>
      <c r="CH111" s="21">
        <f>CD111*Thorax!$K$12/1000</f>
        <v>1.7066464397458993E-2</v>
      </c>
      <c r="CI111" s="17">
        <f>AVERAGE(CH109:CH113)</f>
        <v>1.7066464397458993E-2</v>
      </c>
      <c r="CJ111" s="17">
        <f>AVERAGE(CH110:CH112)</f>
        <v>1.7066464397458993E-2</v>
      </c>
      <c r="CK111" s="5">
        <v>7.891</v>
      </c>
      <c r="CL111">
        <f>AVERAGE(CK109:CK113)</f>
        <v>7.891</v>
      </c>
      <c r="CM111">
        <f>AVERAGE(CK110:CK112)</f>
        <v>7.8910000000000009</v>
      </c>
    </row>
    <row r="112" spans="3:91" x14ac:dyDescent="0.25">
      <c r="C112" s="4">
        <v>-1</v>
      </c>
      <c r="D112">
        <v>434.4</v>
      </c>
      <c r="E112" s="17">
        <f>K47</f>
        <v>2.9453043955820435E-2</v>
      </c>
      <c r="F112">
        <f>M47</f>
        <v>11.18</v>
      </c>
      <c r="G112" s="4">
        <v>4</v>
      </c>
      <c r="H112">
        <f>MAX(D107,D107)</f>
        <v>362</v>
      </c>
      <c r="I112" s="11"/>
      <c r="K112" s="17">
        <f>E107</f>
        <v>2.454420329651703E-2</v>
      </c>
      <c r="N112" s="17">
        <f>F107</f>
        <v>13.04</v>
      </c>
      <c r="U112" s="4"/>
      <c r="V112" s="17"/>
      <c r="W112">
        <v>14</v>
      </c>
      <c r="X112">
        <v>1008</v>
      </c>
      <c r="Y112" s="22"/>
      <c r="AA112" s="21">
        <f>X112*Pelvis!$I$11/1000</f>
        <v>6.8304714922682863E-2</v>
      </c>
      <c r="AB112" s="17"/>
      <c r="AC112" s="17"/>
      <c r="AD112" s="5">
        <v>7.891</v>
      </c>
      <c r="AJ112" s="4">
        <v>4</v>
      </c>
      <c r="AK112">
        <v>835.6</v>
      </c>
      <c r="AL112">
        <f>MAX(AK112,AK120)</f>
        <v>835.6</v>
      </c>
      <c r="AM112" s="22"/>
      <c r="AO112" s="21">
        <f>AL112*Breast!$B$22/1000</f>
        <v>0.11937142857142857</v>
      </c>
      <c r="AP112" s="17"/>
      <c r="AQ112" s="17"/>
      <c r="AR112" s="5">
        <v>8.4339999999999993</v>
      </c>
      <c r="AS112">
        <f>MAX(AR112,AR120)</f>
        <v>8.6389999999999993</v>
      </c>
      <c r="BC112" t="s">
        <v>12</v>
      </c>
      <c r="BD112">
        <v>10</v>
      </c>
      <c r="BK112">
        <v>14</v>
      </c>
      <c r="BL112" s="11">
        <f t="shared" si="12"/>
        <v>84.000000000000014</v>
      </c>
      <c r="BM112" s="22"/>
      <c r="BO112" s="21">
        <f>BL112*Head!$K$12/1000</f>
        <v>5.6953399914569909E-3</v>
      </c>
      <c r="BP112" s="17"/>
      <c r="BQ112" s="17"/>
      <c r="BR112" s="5">
        <v>7.891</v>
      </c>
      <c r="CA112" s="21"/>
      <c r="CB112" s="21"/>
      <c r="CC112">
        <v>14</v>
      </c>
      <c r="CD112" s="11">
        <f t="shared" si="11"/>
        <v>252</v>
      </c>
      <c r="CE112" s="22"/>
      <c r="CH112" s="21">
        <f>CD112*Thorax!$K$12/1000</f>
        <v>1.7066464397458993E-2</v>
      </c>
      <c r="CI112" s="17"/>
      <c r="CJ112" s="17"/>
      <c r="CK112" s="5">
        <v>7.891</v>
      </c>
    </row>
    <row r="113" spans="3:91" x14ac:dyDescent="0.25">
      <c r="C113" s="4">
        <v>-3</v>
      </c>
      <c r="D113">
        <v>379</v>
      </c>
      <c r="E113" s="17">
        <f>K51</f>
        <v>2.5696831628121419E-2</v>
      </c>
      <c r="F113">
        <f>M51</f>
        <v>11.85</v>
      </c>
      <c r="G113" s="4">
        <v>3</v>
      </c>
      <c r="H113">
        <f>MAX(D113,D108)</f>
        <v>399.2</v>
      </c>
      <c r="I113" s="11"/>
      <c r="J113">
        <f>AVERAGE(H112:H114)</f>
        <v>397.06666666666666</v>
      </c>
      <c r="K113" s="17">
        <f>MAX(E108,E113)</f>
        <v>2.7066425292733693E-2</v>
      </c>
      <c r="M113">
        <f>AVERAGE(K112:K114)</f>
        <v>2.6921781737395106E-2</v>
      </c>
      <c r="N113" s="17">
        <f>MAX(F108,F113)</f>
        <v>11.85</v>
      </c>
      <c r="P113">
        <f>AVERAGE(N112:N114)</f>
        <v>12.166666666666666</v>
      </c>
      <c r="U113" s="4"/>
      <c r="V113" s="17"/>
      <c r="W113">
        <v>13</v>
      </c>
      <c r="X113">
        <v>1008</v>
      </c>
      <c r="Y113" s="22"/>
      <c r="AA113" s="21">
        <f>X113*Pelvis!$I$11/1000</f>
        <v>6.8304714922682863E-2</v>
      </c>
      <c r="AB113" s="17"/>
      <c r="AC113" s="17"/>
      <c r="AD113" s="5">
        <v>7.891</v>
      </c>
      <c r="AJ113" s="4">
        <v>3</v>
      </c>
      <c r="AM113" s="22"/>
      <c r="AN113" s="22">
        <f>AVERAGE(AL112:AL114)</f>
        <v>898.7</v>
      </c>
      <c r="AO113" s="21"/>
      <c r="AP113" s="17"/>
      <c r="AQ113" s="17">
        <f>AVERAGE(AO112:AO114)</f>
        <v>0.12838571428571427</v>
      </c>
      <c r="AR113" s="5"/>
      <c r="AU113">
        <f>AVERAGE(AS112:AS114)</f>
        <v>8.4894999999999996</v>
      </c>
      <c r="BC113" t="s">
        <v>113</v>
      </c>
      <c r="BD113">
        <f>BD111*BD112*10^-3</f>
        <v>0.1</v>
      </c>
      <c r="BK113">
        <v>13</v>
      </c>
      <c r="BL113" s="11">
        <f t="shared" si="12"/>
        <v>84.000000000000014</v>
      </c>
      <c r="BM113" s="22"/>
      <c r="BO113" s="21">
        <f>BL113*Head!$K$12/1000</f>
        <v>5.6953399914569909E-3</v>
      </c>
      <c r="BP113" s="17"/>
      <c r="BQ113" s="17"/>
      <c r="BR113" s="5">
        <v>7.891</v>
      </c>
      <c r="CA113" s="21"/>
      <c r="CB113" s="21"/>
      <c r="CC113">
        <v>13</v>
      </c>
      <c r="CD113" s="11">
        <f t="shared" si="11"/>
        <v>252</v>
      </c>
      <c r="CE113" s="22"/>
      <c r="CH113" s="21">
        <f>CD113*Thorax!$K$12/1000</f>
        <v>1.7066464397458993E-2</v>
      </c>
      <c r="CI113" s="17"/>
      <c r="CJ113" s="17"/>
      <c r="CK113" s="5">
        <v>7.891</v>
      </c>
    </row>
    <row r="114" spans="3:91" x14ac:dyDescent="0.25">
      <c r="C114" s="4">
        <v>-5</v>
      </c>
      <c r="D114">
        <v>273</v>
      </c>
      <c r="E114" s="17">
        <f>K55</f>
        <v>1.8509854972235219E-2</v>
      </c>
      <c r="F114">
        <f>M55</f>
        <v>18.64</v>
      </c>
      <c r="G114" s="4">
        <v>2</v>
      </c>
      <c r="H114">
        <f>MAX(D109,D109)</f>
        <v>430</v>
      </c>
      <c r="I114" s="11"/>
      <c r="K114" s="17">
        <f>E109</f>
        <v>2.9154716622934593E-2</v>
      </c>
      <c r="N114" s="17">
        <f>F109</f>
        <v>11.61</v>
      </c>
      <c r="U114" s="4"/>
      <c r="V114" s="17"/>
      <c r="W114">
        <v>12</v>
      </c>
      <c r="X114">
        <v>1008</v>
      </c>
      <c r="Y114" s="22"/>
      <c r="Z114" s="22">
        <f>AVERAGE(X113:X115)</f>
        <v>1008</v>
      </c>
      <c r="AA114" s="21">
        <f>X114*Pelvis!$I$11/1000</f>
        <v>6.8304714922682863E-2</v>
      </c>
      <c r="AB114" s="17"/>
      <c r="AC114" s="17">
        <f>AVERAGE(AA113:AA115)</f>
        <v>6.8304714922682863E-2</v>
      </c>
      <c r="AD114" s="5">
        <v>7.891</v>
      </c>
      <c r="AF114">
        <f>AVERAGE(AD113:AD115)</f>
        <v>7.8910000000000009</v>
      </c>
      <c r="AJ114" s="4">
        <v>2</v>
      </c>
      <c r="AK114">
        <v>961.8</v>
      </c>
      <c r="AL114">
        <f>MAX(AK114,AK118)</f>
        <v>961.8</v>
      </c>
      <c r="AM114" s="22"/>
      <c r="AO114" s="21">
        <f>AL114*Breast!$B$22/1000</f>
        <v>0.13739999999999997</v>
      </c>
      <c r="AP114" s="17"/>
      <c r="AQ114" s="17"/>
      <c r="AR114" s="5">
        <v>8.0489999999999995</v>
      </c>
      <c r="AS114">
        <f>MAX(AR114,AR118)</f>
        <v>8.34</v>
      </c>
      <c r="BC114" t="s">
        <v>114</v>
      </c>
      <c r="BD114">
        <f>BD113/BD107</f>
        <v>8.3333333333333343E-2</v>
      </c>
      <c r="BK114">
        <v>12</v>
      </c>
      <c r="BL114" s="11">
        <f t="shared" si="12"/>
        <v>84.000000000000014</v>
      </c>
      <c r="BM114" s="22"/>
      <c r="BN114" s="22">
        <f>AVERAGE(BL113:BL115)</f>
        <v>84.000000000000014</v>
      </c>
      <c r="BO114" s="21">
        <f>BL114*Head!$K$12/1000</f>
        <v>5.6953399914569909E-3</v>
      </c>
      <c r="BP114" s="17"/>
      <c r="BQ114" s="17">
        <f>AVERAGE(BO113:BO115)</f>
        <v>5.6953399914569909E-3</v>
      </c>
      <c r="BR114" s="5">
        <v>7.891</v>
      </c>
      <c r="BT114">
        <f>AVERAGE(BR113:BR115)</f>
        <v>7.8910000000000009</v>
      </c>
      <c r="CA114" s="21"/>
      <c r="CB114" s="21"/>
      <c r="CC114">
        <v>12</v>
      </c>
      <c r="CD114" s="11">
        <f t="shared" si="11"/>
        <v>252</v>
      </c>
      <c r="CE114" s="22"/>
      <c r="CF114" s="22">
        <f>AVERAGE(CD113:CD115)</f>
        <v>252</v>
      </c>
      <c r="CH114" s="21">
        <f>CD114*Thorax!$K$12/1000</f>
        <v>1.7066464397458993E-2</v>
      </c>
      <c r="CI114" s="17"/>
      <c r="CJ114" s="17">
        <f>AVERAGE(CH113:CH115)</f>
        <v>1.7066464397458993E-2</v>
      </c>
      <c r="CK114" s="5">
        <v>7.891</v>
      </c>
      <c r="CM114">
        <f>AVERAGE(CK113:CK115)</f>
        <v>7.8910000000000009</v>
      </c>
    </row>
    <row r="115" spans="3:91" x14ac:dyDescent="0.25">
      <c r="C115" s="4">
        <v>-7</v>
      </c>
      <c r="D115">
        <v>153.1</v>
      </c>
      <c r="E115" s="17">
        <f>K59</f>
        <v>1.0380435151096015E-2</v>
      </c>
      <c r="F115">
        <f>M59</f>
        <v>19.55</v>
      </c>
      <c r="G115" s="4">
        <v>1</v>
      </c>
      <c r="H115">
        <f>MAX(D110,D112)</f>
        <v>443.3</v>
      </c>
      <c r="I115" s="11"/>
      <c r="K115" s="17">
        <f>MAX(E110,E112)</f>
        <v>3.005647878824862E-2</v>
      </c>
      <c r="N115" s="17">
        <f>MAX(F110,F112)</f>
        <v>11.18</v>
      </c>
      <c r="U115" s="4"/>
      <c r="V115" s="17"/>
      <c r="W115">
        <v>11</v>
      </c>
      <c r="X115">
        <v>1008</v>
      </c>
      <c r="Y115" s="22"/>
      <c r="AA115" s="21"/>
      <c r="AB115" s="17"/>
      <c r="AC115" s="17"/>
      <c r="AD115" s="5">
        <v>7.891</v>
      </c>
      <c r="AJ115" s="4">
        <v>1</v>
      </c>
      <c r="AM115" s="22"/>
      <c r="AO115" s="21"/>
      <c r="AP115" s="17"/>
      <c r="AQ115" s="17"/>
      <c r="AR115" s="5"/>
      <c r="BK115">
        <v>11</v>
      </c>
      <c r="BL115" s="11">
        <f t="shared" si="12"/>
        <v>84.000000000000014</v>
      </c>
      <c r="BM115" s="22"/>
      <c r="BO115" s="21"/>
      <c r="BP115" s="17"/>
      <c r="BQ115" s="17"/>
      <c r="BR115" s="5">
        <v>7.891</v>
      </c>
      <c r="CA115" s="21"/>
      <c r="CB115" s="21"/>
      <c r="CC115">
        <v>11</v>
      </c>
      <c r="CD115" s="11">
        <f t="shared" si="11"/>
        <v>252</v>
      </c>
      <c r="CE115" s="22"/>
      <c r="CH115" s="21"/>
      <c r="CI115" s="17"/>
      <c r="CJ115" s="17"/>
      <c r="CK115" s="5">
        <v>7.891</v>
      </c>
    </row>
    <row r="116" spans="3:91" x14ac:dyDescent="0.25">
      <c r="C116" s="4">
        <v>-8</v>
      </c>
      <c r="D116">
        <v>86.19</v>
      </c>
      <c r="E116" s="17">
        <f>K61</f>
        <v>5.8438256412342623E-3</v>
      </c>
      <c r="F116">
        <f>M61</f>
        <v>19.489999999999998</v>
      </c>
      <c r="G116" s="4">
        <v>0</v>
      </c>
      <c r="H116">
        <f>D111</f>
        <v>447.2</v>
      </c>
      <c r="I116" s="11">
        <f>AVERAGE(H114:H118)</f>
        <v>438.76000000000005</v>
      </c>
      <c r="J116">
        <f>AVERAGE(H115:H117)</f>
        <v>444.59999999999997</v>
      </c>
      <c r="K116" s="17">
        <f>E111</f>
        <v>3.0320905287851974E-2</v>
      </c>
      <c r="L116" s="17">
        <f>AVERAGE(K114:K118)</f>
        <v>2.9748659222043682E-2</v>
      </c>
      <c r="M116">
        <f>AVERAGE(K115:K117)</f>
        <v>3.0144620954783069E-2</v>
      </c>
      <c r="N116" s="17">
        <f>F111</f>
        <v>11.57</v>
      </c>
      <c r="O116" s="17">
        <f>AVERAGE(N114:N118)</f>
        <v>11.43</v>
      </c>
      <c r="P116">
        <f>AVERAGE(N115:N117)</f>
        <v>11.31</v>
      </c>
      <c r="U116" s="4"/>
      <c r="V116" s="17"/>
      <c r="W116" s="4">
        <v>10</v>
      </c>
      <c r="X116">
        <v>1008</v>
      </c>
      <c r="Y116" s="22">
        <f>AVERAGE(X114:X118)</f>
        <v>1007.75</v>
      </c>
      <c r="AA116" s="21">
        <f>X116*Pelvis!$I$11/1000</f>
        <v>6.8304714922682863E-2</v>
      </c>
      <c r="AB116" s="17">
        <f>AVERAGE(AA114:AA118)</f>
        <v>6.8282127384679328E-2</v>
      </c>
      <c r="AC116" s="17"/>
      <c r="AD116" s="5">
        <v>7.891</v>
      </c>
      <c r="AE116">
        <f>AVERAGE(AD114:AD118)</f>
        <v>7.9607500000000009</v>
      </c>
      <c r="AJ116" s="4">
        <v>0</v>
      </c>
      <c r="AK116">
        <v>1002</v>
      </c>
      <c r="AL116">
        <f>AK116</f>
        <v>1002</v>
      </c>
      <c r="AM116" s="22">
        <f>AVERAGE(AL114:AL118)</f>
        <v>975.19999999999993</v>
      </c>
      <c r="AN116" s="22">
        <f>AVERAGE(AL115:AL117)</f>
        <v>1002</v>
      </c>
      <c r="AO116" s="21">
        <f>AL116*Breast!$B$22/1000</f>
        <v>0.14314285714285713</v>
      </c>
      <c r="AP116" s="17">
        <f>AVERAGE(AO114:AO118)</f>
        <v>0.1393142857142857</v>
      </c>
      <c r="AQ116" s="17">
        <f>AVERAGE(AO115:AO117)</f>
        <v>0.14314285714285713</v>
      </c>
      <c r="AR116" s="5">
        <v>8.0449999999999999</v>
      </c>
      <c r="AS116">
        <f>AR116</f>
        <v>8.0449999999999999</v>
      </c>
      <c r="AT116">
        <f>AVERAGE(AS114:AS118)</f>
        <v>8.2416666666666654</v>
      </c>
      <c r="AU116">
        <f>AVERAGE(AS115:AS117)</f>
        <v>8.0449999999999999</v>
      </c>
      <c r="BK116" s="4">
        <v>10</v>
      </c>
      <c r="BL116" s="11">
        <f t="shared" si="12"/>
        <v>84.000000000000014</v>
      </c>
      <c r="BM116" s="22">
        <f>AVERAGE(BL114:BL118)</f>
        <v>83.979166666666686</v>
      </c>
      <c r="BO116" s="21">
        <f>BL116*Head!$K$12/1000</f>
        <v>5.6953399914569909E-3</v>
      </c>
      <c r="BP116" s="17">
        <f>AVERAGE(BO114:BO118)</f>
        <v>5.6934566118301859E-3</v>
      </c>
      <c r="BQ116" s="17"/>
      <c r="BR116" s="5">
        <v>7.891</v>
      </c>
      <c r="BS116">
        <f>AVERAGE(BR114:BR118)</f>
        <v>7.9607500000000009</v>
      </c>
      <c r="BV116" t="s">
        <v>128</v>
      </c>
      <c r="CA116" s="21"/>
      <c r="CB116" s="21"/>
      <c r="CC116" s="4">
        <v>10</v>
      </c>
      <c r="CD116" s="11">
        <f t="shared" si="11"/>
        <v>252</v>
      </c>
      <c r="CE116" s="22">
        <f>AVERAGE(CD114:CD118)</f>
        <v>251.9375</v>
      </c>
      <c r="CH116" s="21">
        <f>CD116*Thorax!$K$12/1000</f>
        <v>1.7066464397458993E-2</v>
      </c>
      <c r="CI116" s="17">
        <f>AVERAGE(CH114:CH118)</f>
        <v>1.7060820725369883E-2</v>
      </c>
      <c r="CJ116" s="17"/>
      <c r="CK116" s="5">
        <v>7.891</v>
      </c>
      <c r="CL116">
        <f>AVERAGE(CK114:CK118)</f>
        <v>7.9607500000000009</v>
      </c>
    </row>
    <row r="117" spans="3:91" x14ac:dyDescent="0.25">
      <c r="C117" s="4">
        <v>-9</v>
      </c>
      <c r="D117">
        <v>70.22</v>
      </c>
      <c r="E117" s="17">
        <f>K63</f>
        <v>4.7610330261917844E-3</v>
      </c>
      <c r="F117">
        <f>M63</f>
        <v>23.17</v>
      </c>
      <c r="G117" s="4">
        <v>-1</v>
      </c>
      <c r="H117">
        <f>H115</f>
        <v>443.3</v>
      </c>
      <c r="I117" s="11"/>
      <c r="K117" s="17">
        <f>K115</f>
        <v>3.005647878824862E-2</v>
      </c>
      <c r="N117" s="17">
        <f>N115</f>
        <v>11.18</v>
      </c>
      <c r="U117" s="4"/>
      <c r="V117" s="17"/>
      <c r="W117">
        <v>9</v>
      </c>
      <c r="Y117" s="22"/>
      <c r="Z117" s="22">
        <f>AVERAGE(X116:X118)</f>
        <v>1007.5</v>
      </c>
      <c r="AA117" s="21"/>
      <c r="AB117" s="17"/>
      <c r="AC117" s="17">
        <f>AVERAGE(AA116:AA118)</f>
        <v>6.8270833615677567E-2</v>
      </c>
      <c r="AF117">
        <f>AVERAGE(AD116:AD118)</f>
        <v>8.0305</v>
      </c>
      <c r="AJ117" s="4">
        <v>-1</v>
      </c>
      <c r="AM117" s="22"/>
      <c r="AO117" s="21"/>
      <c r="AP117" s="17"/>
      <c r="AQ117" s="17"/>
      <c r="AR117" s="5"/>
      <c r="BC117" s="15" t="s">
        <v>32</v>
      </c>
      <c r="BK117">
        <v>9</v>
      </c>
      <c r="BL117" s="11"/>
      <c r="BM117" s="22"/>
      <c r="BN117" s="22">
        <f>AVERAGE(BL116:BL118)</f>
        <v>83.958333333333343</v>
      </c>
      <c r="BO117" s="21"/>
      <c r="BP117" s="17"/>
      <c r="BQ117" s="17">
        <f>AVERAGE(BO116:BO118)</f>
        <v>5.6925149220167833E-3</v>
      </c>
      <c r="BT117">
        <f>AVERAGE(BR116:BR118)</f>
        <v>8.0305</v>
      </c>
      <c r="BV117">
        <f>(BS141-BS111)/BS111</f>
        <v>0.12681113504836744</v>
      </c>
      <c r="CA117" s="21"/>
      <c r="CB117" s="21"/>
      <c r="CC117">
        <v>9</v>
      </c>
      <c r="CD117" s="11"/>
      <c r="CE117" s="22"/>
      <c r="CF117" s="22">
        <f>AVERAGE(CD116:CD118)</f>
        <v>251.875</v>
      </c>
      <c r="CH117" s="21"/>
      <c r="CI117" s="17"/>
      <c r="CJ117" s="17">
        <f>AVERAGE(CH116:CH118)</f>
        <v>1.7057998889325333E-2</v>
      </c>
      <c r="CM117">
        <f>AVERAGE(CK116:CK118)</f>
        <v>8.0305</v>
      </c>
    </row>
    <row r="118" spans="3:91" x14ac:dyDescent="0.25">
      <c r="C118" s="4">
        <v>-10</v>
      </c>
      <c r="D118">
        <v>64.099999999999994</v>
      </c>
      <c r="E118" s="17">
        <f>K65</f>
        <v>4.3460868268142029E-3</v>
      </c>
      <c r="F118">
        <f>M65</f>
        <v>24.14</v>
      </c>
      <c r="G118" s="4">
        <v>-2</v>
      </c>
      <c r="H118">
        <f>H114</f>
        <v>430</v>
      </c>
      <c r="I118" s="11"/>
      <c r="K118" s="17">
        <f>K114</f>
        <v>2.9154716622934593E-2</v>
      </c>
      <c r="N118" s="17">
        <f>N114</f>
        <v>11.61</v>
      </c>
      <c r="U118" s="4"/>
      <c r="V118" s="17"/>
      <c r="W118" s="4">
        <v>8</v>
      </c>
      <c r="X118">
        <v>1007</v>
      </c>
      <c r="Y118" s="22"/>
      <c r="AA118" s="21">
        <f>X118*Pelvis!$I$11/1000</f>
        <v>6.8236952308672258E-2</v>
      </c>
      <c r="AB118" s="17"/>
      <c r="AC118" s="17"/>
      <c r="AD118" s="5">
        <v>8.17</v>
      </c>
      <c r="AJ118" s="4">
        <v>-2</v>
      </c>
      <c r="AK118">
        <v>935.1</v>
      </c>
      <c r="AL118">
        <f>AL114</f>
        <v>961.8</v>
      </c>
      <c r="AM118" s="22"/>
      <c r="AO118" s="21">
        <f>AL118*Breast!$B$22/1000</f>
        <v>0.13739999999999997</v>
      </c>
      <c r="AP118" s="17"/>
      <c r="AQ118" s="17"/>
      <c r="AR118" s="5">
        <v>8.34</v>
      </c>
      <c r="AS118">
        <f>AS114</f>
        <v>8.34</v>
      </c>
      <c r="BC118" t="s">
        <v>11</v>
      </c>
      <c r="BD118">
        <v>15</v>
      </c>
      <c r="BK118" s="4">
        <v>8</v>
      </c>
      <c r="BL118" s="11">
        <f>1007*$BD$114</f>
        <v>83.916666666666671</v>
      </c>
      <c r="BM118" s="22"/>
      <c r="BO118" s="21">
        <f>BL118*Head!$K$12/1000</f>
        <v>5.6896898525765766E-3</v>
      </c>
      <c r="BP118" s="17"/>
      <c r="BQ118" s="17"/>
      <c r="BR118" s="5">
        <v>8.17</v>
      </c>
      <c r="CA118" s="21"/>
      <c r="CB118" s="21"/>
      <c r="CC118" s="4">
        <v>8</v>
      </c>
      <c r="CD118" s="11">
        <f>1007*$BD$121</f>
        <v>251.75</v>
      </c>
      <c r="CE118" s="22"/>
      <c r="CH118" s="21">
        <f>CD118*Thorax!$K$12/1000</f>
        <v>1.7049533381191671E-2</v>
      </c>
      <c r="CI118" s="17"/>
      <c r="CJ118" s="17"/>
      <c r="CK118" s="5">
        <v>8.17</v>
      </c>
    </row>
    <row r="119" spans="3:91" x14ac:dyDescent="0.25">
      <c r="C119" s="4">
        <v>-11</v>
      </c>
      <c r="D119">
        <v>60.83</v>
      </c>
      <c r="E119" s="17">
        <f>K67</f>
        <v>4.12437537714677E-3</v>
      </c>
      <c r="F119">
        <f>M67</f>
        <v>25.42</v>
      </c>
      <c r="G119" s="4">
        <v>-3</v>
      </c>
      <c r="H119">
        <f>H113</f>
        <v>399.2</v>
      </c>
      <c r="I119" s="11"/>
      <c r="J119">
        <f>AVERAGE(H118:H120)</f>
        <v>397.06666666666666</v>
      </c>
      <c r="K119" s="17">
        <f>K113</f>
        <v>2.7066425292733693E-2</v>
      </c>
      <c r="M119">
        <f>AVERAGE(K118:K120)</f>
        <v>2.6921781737395106E-2</v>
      </c>
      <c r="N119" s="17">
        <f>N113</f>
        <v>11.85</v>
      </c>
      <c r="P119">
        <f>AVERAGE(N118:N120)</f>
        <v>12.166666666666666</v>
      </c>
      <c r="U119" s="4"/>
      <c r="V119" s="17"/>
      <c r="W119" s="4">
        <v>7</v>
      </c>
      <c r="Y119" s="22"/>
      <c r="AA119" s="21"/>
      <c r="AB119" s="17"/>
      <c r="AC119" s="17"/>
      <c r="AD119" s="5"/>
      <c r="AJ119" s="4">
        <v>-3</v>
      </c>
      <c r="AM119" s="22"/>
      <c r="AN119" s="22">
        <f>AVERAGE(AL118:AL120)</f>
        <v>898.7</v>
      </c>
      <c r="AO119" s="21"/>
      <c r="AP119" s="17"/>
      <c r="AQ119" s="17">
        <f>AVERAGE(AO118:AO120)</f>
        <v>0.12838571428571427</v>
      </c>
      <c r="AR119" s="5"/>
      <c r="AU119">
        <f>AVERAGE(AS118:AS120)</f>
        <v>8.4894999999999996</v>
      </c>
      <c r="BC119" t="s">
        <v>12</v>
      </c>
      <c r="BD119">
        <v>20</v>
      </c>
      <c r="BK119" s="4">
        <v>7</v>
      </c>
      <c r="BL119" s="11"/>
      <c r="BM119" s="22"/>
      <c r="BO119" s="21"/>
      <c r="BP119" s="17"/>
      <c r="BQ119" s="17"/>
      <c r="BR119" s="5"/>
      <c r="BV119" t="s">
        <v>129</v>
      </c>
      <c r="CA119" s="21"/>
      <c r="CB119" s="21"/>
      <c r="CC119" s="4">
        <v>7</v>
      </c>
      <c r="CD119" s="11"/>
      <c r="CE119" s="22"/>
      <c r="CH119" s="21"/>
      <c r="CI119" s="17"/>
      <c r="CJ119" s="17"/>
      <c r="CK119" s="5"/>
    </row>
    <row r="120" spans="3:91" x14ac:dyDescent="0.25">
      <c r="C120" s="4">
        <v>-12</v>
      </c>
      <c r="D120">
        <v>58.72</v>
      </c>
      <c r="E120" s="17">
        <f>K69</f>
        <v>3.9813138606946963E-3</v>
      </c>
      <c r="F120">
        <f>M69</f>
        <v>26.5</v>
      </c>
      <c r="G120" s="4">
        <v>-4</v>
      </c>
      <c r="H120">
        <f>H112</f>
        <v>362</v>
      </c>
      <c r="I120" s="11"/>
      <c r="K120" s="17">
        <f>K112</f>
        <v>2.454420329651703E-2</v>
      </c>
      <c r="N120" s="17">
        <f>N112</f>
        <v>13.04</v>
      </c>
      <c r="U120" s="4"/>
      <c r="V120" s="17"/>
      <c r="W120" s="4">
        <v>6</v>
      </c>
      <c r="X120">
        <v>1029</v>
      </c>
      <c r="Y120" s="22"/>
      <c r="Z120" s="22">
        <f>AVERAGE(X119:X121)</f>
        <v>1029</v>
      </c>
      <c r="AA120" s="21">
        <f>X120*Pelvis!$I$11/1000</f>
        <v>6.972772981690542E-2</v>
      </c>
      <c r="AB120" s="17"/>
      <c r="AC120" s="17">
        <f>AVERAGE(AA119:AA121)</f>
        <v>6.972772981690542E-2</v>
      </c>
      <c r="AD120" s="5">
        <v>7.9050000000000002</v>
      </c>
      <c r="AF120">
        <f>AVERAGE(AD119:AD121)</f>
        <v>7.9050000000000002</v>
      </c>
      <c r="AJ120" s="4">
        <v>-4</v>
      </c>
      <c r="AK120">
        <v>771.7</v>
      </c>
      <c r="AL120">
        <f>AL112</f>
        <v>835.6</v>
      </c>
      <c r="AM120" s="22"/>
      <c r="AO120" s="21">
        <f>AL120*Breast!$B$22/1000</f>
        <v>0.11937142857142857</v>
      </c>
      <c r="AP120" s="17"/>
      <c r="AQ120" s="17"/>
      <c r="AR120" s="5">
        <v>8.6389999999999993</v>
      </c>
      <c r="AS120">
        <f>AS112</f>
        <v>8.6389999999999993</v>
      </c>
      <c r="BC120" t="s">
        <v>113</v>
      </c>
      <c r="BD120">
        <f>BD118*BD119*10^-3</f>
        <v>0.3</v>
      </c>
      <c r="BK120" s="4">
        <v>6</v>
      </c>
      <c r="BL120" s="11">
        <f>1029*$BD$114</f>
        <v>85.750000000000014</v>
      </c>
      <c r="BM120" s="22"/>
      <c r="BN120" s="22">
        <f>AVERAGE(BL119:BL121)</f>
        <v>85.750000000000014</v>
      </c>
      <c r="BO120" s="21">
        <f>BL120*Head!$K$12/1000</f>
        <v>5.8139929079456783E-3</v>
      </c>
      <c r="BP120" s="17"/>
      <c r="BQ120" s="17">
        <f>AVERAGE(BO119:BO121)</f>
        <v>5.8139929079456783E-3</v>
      </c>
      <c r="BR120" s="5">
        <v>7.9050000000000002</v>
      </c>
      <c r="BT120">
        <f>AVERAGE(BR119:BR121)</f>
        <v>7.9050000000000002</v>
      </c>
      <c r="BV120">
        <f>(BP141-BP111)/BP111</f>
        <v>-0.92232804232804233</v>
      </c>
      <c r="CA120" s="21"/>
      <c r="CB120" s="21"/>
      <c r="CC120" s="4">
        <v>6</v>
      </c>
      <c r="CD120" s="11">
        <f>1029*$BD$121</f>
        <v>257.25</v>
      </c>
      <c r="CE120" s="22"/>
      <c r="CF120" s="22">
        <f>AVERAGE(CD119:CD121)</f>
        <v>257.25</v>
      </c>
      <c r="CH120" s="21">
        <f>CD120*Thorax!$K$12/1000</f>
        <v>1.7422015739072722E-2</v>
      </c>
      <c r="CI120" s="17"/>
      <c r="CJ120" s="17">
        <f>AVERAGE(CH119:CH121)</f>
        <v>1.7422015739072722E-2</v>
      </c>
      <c r="CK120" s="5">
        <v>7.9050000000000002</v>
      </c>
      <c r="CM120">
        <f>AVERAGE(CK119:CK121)</f>
        <v>7.9050000000000002</v>
      </c>
    </row>
    <row r="121" spans="3:91" x14ac:dyDescent="0.25">
      <c r="C121" s="4">
        <v>-13</v>
      </c>
      <c r="D121">
        <v>54.67</v>
      </c>
      <c r="E121" s="17">
        <f>K71</f>
        <v>3.7067171111065914E-3</v>
      </c>
      <c r="F121">
        <f>M71</f>
        <v>21.51</v>
      </c>
      <c r="G121" s="4">
        <v>-5</v>
      </c>
      <c r="H121">
        <f>H111</f>
        <v>312.7</v>
      </c>
      <c r="I121" s="11">
        <f>AVERAGE(H119:H123)</f>
        <v>306.24</v>
      </c>
      <c r="K121" s="17">
        <f>K111</f>
        <v>2.1201581134864294E-2</v>
      </c>
      <c r="L121" s="17">
        <f>AVERAGE(K119:K123)</f>
        <v>2.0763582368854627E-2</v>
      </c>
      <c r="N121" s="17">
        <f>N111</f>
        <v>18.64</v>
      </c>
      <c r="O121" s="17">
        <f>AVERAGE(N119:N123)</f>
        <v>15.965999999999999</v>
      </c>
      <c r="U121" s="4"/>
      <c r="V121" s="17"/>
      <c r="W121" s="4">
        <v>5</v>
      </c>
      <c r="Y121" s="22">
        <f>AVERAGE(X119:X123)</f>
        <v>1034</v>
      </c>
      <c r="AA121" s="21"/>
      <c r="AB121" s="17">
        <f>AVERAGE(AA119:AA123)</f>
        <v>7.0066542886958405E-2</v>
      </c>
      <c r="AC121" s="17"/>
      <c r="AD121" s="5"/>
      <c r="AE121">
        <f>AVERAGE(AD119:AD123)</f>
        <v>8.0039999999999996</v>
      </c>
      <c r="AJ121" s="4">
        <v>-5</v>
      </c>
      <c r="AM121" s="22">
        <f>AVERAGE(AL119:AL123)</f>
        <v>655.23333333333335</v>
      </c>
      <c r="AO121" s="21"/>
      <c r="AP121" s="17">
        <f>AVERAGE(AO119:AO123)</f>
        <v>9.3604761904761899E-2</v>
      </c>
      <c r="AQ121" s="17"/>
      <c r="AR121" s="5"/>
      <c r="AT121">
        <f>AVERAGE(AS119:AS123)</f>
        <v>9.4466666666666654</v>
      </c>
      <c r="BC121" t="s">
        <v>114</v>
      </c>
      <c r="BD121">
        <f>BD120/BD107</f>
        <v>0.25</v>
      </c>
      <c r="BK121" s="4">
        <v>5</v>
      </c>
      <c r="BL121" s="11"/>
      <c r="BM121" s="22">
        <f>AVERAGE(BL119:BL123)</f>
        <v>86.166666666666686</v>
      </c>
      <c r="BO121" s="21"/>
      <c r="BP121" s="17">
        <f>AVERAGE(BO119:BO123)</f>
        <v>5.8422436023477468E-3</v>
      </c>
      <c r="BQ121" s="17"/>
      <c r="BR121" s="5"/>
      <c r="BS121">
        <f>AVERAGE(BR119:BR123)</f>
        <v>8.0039999999999996</v>
      </c>
      <c r="CA121" s="21"/>
      <c r="CB121" s="21"/>
      <c r="CC121" s="4">
        <v>5</v>
      </c>
      <c r="CD121" s="11"/>
      <c r="CE121" s="22">
        <f>AVERAGE(CD119:CD123)</f>
        <v>258.5</v>
      </c>
      <c r="CH121" s="21"/>
      <c r="CI121" s="17">
        <f>AVERAGE(CH119:CH123)</f>
        <v>1.7506670820409326E-2</v>
      </c>
      <c r="CJ121" s="17"/>
      <c r="CK121" s="5"/>
      <c r="CL121">
        <f>AVERAGE(CK119:CK123)</f>
        <v>8.0039999999999996</v>
      </c>
    </row>
    <row r="122" spans="3:91" x14ac:dyDescent="0.25">
      <c r="C122" s="4">
        <v>-14</v>
      </c>
      <c r="D122">
        <v>13.51</v>
      </c>
      <c r="E122" s="17">
        <f>K73</f>
        <v>9.1600051529266589E-4</v>
      </c>
      <c r="F122">
        <f>M73</f>
        <v>14.92</v>
      </c>
      <c r="G122" s="4">
        <v>-6</v>
      </c>
      <c r="H122">
        <f>H110</f>
        <v>256.60000000000002</v>
      </c>
      <c r="I122" s="11"/>
      <c r="J122">
        <f>AVERAGE(H121:H123)</f>
        <v>256.66666666666669</v>
      </c>
      <c r="K122" s="17">
        <f>K110</f>
        <v>1.739790764056981E-2</v>
      </c>
      <c r="M122">
        <f>AVERAGE(K121:K123)</f>
        <v>1.7402427751674138E-2</v>
      </c>
      <c r="N122" s="17">
        <f>N110</f>
        <v>16.75</v>
      </c>
      <c r="P122">
        <f>AVERAGE(N121:N123)</f>
        <v>18.313333333333333</v>
      </c>
      <c r="U122" s="4"/>
      <c r="V122" s="17"/>
      <c r="W122" s="4">
        <v>4</v>
      </c>
      <c r="X122">
        <v>1039</v>
      </c>
      <c r="Y122" s="22"/>
      <c r="AA122" s="21">
        <f>X122*Pelvis!$I$11/1000</f>
        <v>7.040535595701139E-2</v>
      </c>
      <c r="AB122" s="17"/>
      <c r="AC122" s="17"/>
      <c r="AD122" s="5">
        <v>8.1029999999999998</v>
      </c>
      <c r="AJ122" s="4">
        <v>-6</v>
      </c>
      <c r="AK122">
        <v>543.1</v>
      </c>
      <c r="AL122">
        <f>AL110</f>
        <v>628.9</v>
      </c>
      <c r="AM122" s="22"/>
      <c r="AN122" s="22">
        <f>AVERAGE(AL121:AL123)</f>
        <v>565.04999999999995</v>
      </c>
      <c r="AO122" s="21">
        <f>AL122*Breast!$B$22/1000</f>
        <v>8.9842857142857141E-2</v>
      </c>
      <c r="AP122" s="17"/>
      <c r="AQ122" s="17">
        <f>AVERAGE(AO121:AO123)</f>
        <v>8.0721428571428569E-2</v>
      </c>
      <c r="AR122" s="5">
        <v>9.6069999999999993</v>
      </c>
      <c r="AS122">
        <f>AS110</f>
        <v>9.6069999999999993</v>
      </c>
      <c r="AU122">
        <f>AVERAGE(AS121:AS123)</f>
        <v>9.8505000000000003</v>
      </c>
      <c r="BK122" s="4">
        <v>4</v>
      </c>
      <c r="BL122" s="11">
        <f>1039*$BD$114</f>
        <v>86.583333333333343</v>
      </c>
      <c r="BM122" s="22"/>
      <c r="BO122" s="21">
        <f>BL122*Head!$K$12/1000</f>
        <v>5.8704942967498152E-3</v>
      </c>
      <c r="BP122" s="17"/>
      <c r="BQ122" s="17"/>
      <c r="BR122" s="5">
        <v>8.1029999999999998</v>
      </c>
      <c r="CA122" s="21"/>
      <c r="CB122" s="21"/>
      <c r="CC122" s="4">
        <v>4</v>
      </c>
      <c r="CD122" s="11">
        <f>1039*$BD$121</f>
        <v>259.75</v>
      </c>
      <c r="CE122" s="22"/>
      <c r="CH122" s="21">
        <f>CD122*Thorax!$K$12/1000</f>
        <v>1.7591325901745926E-2</v>
      </c>
      <c r="CI122" s="17"/>
      <c r="CJ122" s="17"/>
      <c r="CK122" s="5">
        <v>8.1029999999999998</v>
      </c>
    </row>
    <row r="123" spans="3:91" x14ac:dyDescent="0.25">
      <c r="C123" s="6">
        <v>-15</v>
      </c>
      <c r="D123" s="7">
        <v>6.3449999999999998</v>
      </c>
      <c r="E123" s="17">
        <f>K75</f>
        <v>4.3020157435469766E-4</v>
      </c>
      <c r="F123">
        <f>M75</f>
        <v>8.7759999999999998</v>
      </c>
      <c r="G123" s="4">
        <v>-7</v>
      </c>
      <c r="H123">
        <f>H109</f>
        <v>200.7</v>
      </c>
      <c r="I123" s="11"/>
      <c r="K123" s="17">
        <f>K109</f>
        <v>1.3607794479588309E-2</v>
      </c>
      <c r="N123" s="17">
        <f>N109</f>
        <v>19.55</v>
      </c>
      <c r="U123" s="6"/>
      <c r="V123" s="17"/>
      <c r="W123" s="4">
        <v>3</v>
      </c>
      <c r="Y123" s="22"/>
      <c r="Z123" s="22">
        <f>AVERAGE(X122:X124)</f>
        <v>1031.5</v>
      </c>
      <c r="AA123" s="21"/>
      <c r="AB123" s="17"/>
      <c r="AC123" s="17">
        <f>AVERAGE(AA122:AA124)</f>
        <v>6.9897136351931913E-2</v>
      </c>
      <c r="AD123" s="5"/>
      <c r="AF123">
        <f>AVERAGE(AD122:AD124)</f>
        <v>8.0734999999999992</v>
      </c>
      <c r="AJ123" s="4">
        <v>-7</v>
      </c>
      <c r="AK123">
        <v>389.9</v>
      </c>
      <c r="AL123">
        <f>AL109</f>
        <v>501.2</v>
      </c>
      <c r="AM123" s="22"/>
      <c r="AO123" s="21">
        <f>AL123*Breast!$B$22/1000</f>
        <v>7.1599999999999997E-2</v>
      </c>
      <c r="AP123" s="17"/>
      <c r="AQ123" s="17"/>
      <c r="AR123" s="5">
        <v>10.093999999999999</v>
      </c>
      <c r="AS123">
        <f>AS109</f>
        <v>10.093999999999999</v>
      </c>
      <c r="BK123" s="4">
        <v>3</v>
      </c>
      <c r="BL123" s="11"/>
      <c r="BM123" s="22"/>
      <c r="BN123" s="22">
        <f>AVERAGE(BL122:BL124)</f>
        <v>85.958333333333343</v>
      </c>
      <c r="BO123" s="21"/>
      <c r="BP123" s="17"/>
      <c r="BQ123" s="17">
        <f>AVERAGE(BO122:BO124)</f>
        <v>5.8281182551467121E-3</v>
      </c>
      <c r="BR123" s="5"/>
      <c r="BT123">
        <f>AVERAGE(BR122:BR124)</f>
        <v>8.0734999999999992</v>
      </c>
      <c r="CA123" s="21"/>
      <c r="CB123" s="21"/>
      <c r="CC123" s="26">
        <v>3</v>
      </c>
      <c r="CD123" s="11"/>
      <c r="CE123" s="22"/>
      <c r="CF123" s="22">
        <f>AVERAGE(CD122:CD124)</f>
        <v>257.875</v>
      </c>
      <c r="CH123" s="21"/>
      <c r="CI123" s="17"/>
      <c r="CJ123" s="17">
        <f>AVERAGE(CH122:CH124)</f>
        <v>1.7464343279741022E-2</v>
      </c>
      <c r="CK123" s="5"/>
      <c r="CM123">
        <f>AVERAGE(CK122:CK124)</f>
        <v>8.0734999999999992</v>
      </c>
    </row>
    <row r="124" spans="3:91" x14ac:dyDescent="0.25">
      <c r="E124" s="17"/>
      <c r="G124" s="4">
        <v>-8</v>
      </c>
      <c r="H124">
        <f>H108</f>
        <v>124</v>
      </c>
      <c r="I124" s="11"/>
      <c r="K124" s="17">
        <f>K108</f>
        <v>8.4074066540555555E-3</v>
      </c>
      <c r="N124" s="17">
        <f>N108</f>
        <v>25.85</v>
      </c>
      <c r="W124" s="4">
        <v>2</v>
      </c>
      <c r="X124">
        <v>1024</v>
      </c>
      <c r="Y124" s="22"/>
      <c r="AA124" s="21">
        <f>X124*Pelvis!$I$11/1000</f>
        <v>6.9388916746852436E-2</v>
      </c>
      <c r="AB124" s="17"/>
      <c r="AC124" s="17"/>
      <c r="AD124" s="5">
        <v>8.0440000000000005</v>
      </c>
      <c r="AJ124" s="4">
        <v>-8</v>
      </c>
      <c r="AK124">
        <v>235.2</v>
      </c>
      <c r="AL124">
        <f>AL108</f>
        <v>329.4</v>
      </c>
      <c r="AM124" s="22"/>
      <c r="AO124" s="21">
        <f>AL124*Breast!$B$22/1000</f>
        <v>4.7057142857142853E-2</v>
      </c>
      <c r="AP124" s="17"/>
      <c r="AQ124" s="17"/>
      <c r="AR124" s="5">
        <v>10.756</v>
      </c>
      <c r="AS124">
        <f>AS108</f>
        <v>10.756</v>
      </c>
      <c r="BC124" s="15" t="s">
        <v>41</v>
      </c>
      <c r="BK124" s="4">
        <v>2</v>
      </c>
      <c r="BL124" s="11">
        <f>1024*$BD$114</f>
        <v>85.333333333333343</v>
      </c>
      <c r="BM124" s="22"/>
      <c r="BO124" s="21">
        <f>BL124*Head!$K$12/1000</f>
        <v>5.785742213543609E-3</v>
      </c>
      <c r="BP124" s="17"/>
      <c r="BQ124" s="17"/>
      <c r="BR124" s="5">
        <v>8.0440000000000005</v>
      </c>
      <c r="CA124" s="21"/>
      <c r="CB124" s="21"/>
      <c r="CC124" s="26">
        <v>2</v>
      </c>
      <c r="CD124" s="11">
        <f>1024*$BD$121</f>
        <v>256</v>
      </c>
      <c r="CE124" s="22"/>
      <c r="CH124" s="21">
        <f>CD124*Thorax!$K$12/1000</f>
        <v>1.7337360657736119E-2</v>
      </c>
      <c r="CI124" s="17"/>
      <c r="CJ124" s="17"/>
      <c r="CK124" s="5">
        <v>8.0440000000000005</v>
      </c>
    </row>
    <row r="125" spans="3:91" x14ac:dyDescent="0.25">
      <c r="E125" s="17"/>
      <c r="G125" s="4">
        <v>-9</v>
      </c>
      <c r="H125">
        <f>H107</f>
        <v>79.31</v>
      </c>
      <c r="I125" s="11"/>
      <c r="J125">
        <f>AVERAGE(H124:H126)</f>
        <v>90.306666666666672</v>
      </c>
      <c r="K125" s="17">
        <f>K107</f>
        <v>5.377350175267308E-3</v>
      </c>
      <c r="M125">
        <f>AVERAGE(K124:K126)</f>
        <v>6.1229425019266965E-3</v>
      </c>
      <c r="N125" s="17">
        <f>N107</f>
        <v>23.17</v>
      </c>
      <c r="P125">
        <f>AVERAGE(N124:N126)</f>
        <v>26.52</v>
      </c>
      <c r="W125" s="4">
        <v>1</v>
      </c>
      <c r="Y125" s="22"/>
      <c r="AA125" s="21"/>
      <c r="AB125" s="17"/>
      <c r="AC125" s="17"/>
      <c r="AD125" s="5"/>
      <c r="AJ125" s="4">
        <v>-9</v>
      </c>
      <c r="AK125">
        <v>197.3</v>
      </c>
      <c r="AL125">
        <f>AL107</f>
        <v>221.6</v>
      </c>
      <c r="AM125" s="22"/>
      <c r="AN125" s="22">
        <f>AVERAGE(AL124:AL126)</f>
        <v>249.1</v>
      </c>
      <c r="AO125" s="21">
        <f>AL125*Breast!$B$22/1000</f>
        <v>3.1657142857142856E-2</v>
      </c>
      <c r="AP125" s="17"/>
      <c r="AQ125" s="17">
        <f>AVERAGE(AO124:AO126)</f>
        <v>3.5585714285714283E-2</v>
      </c>
      <c r="AR125" s="5">
        <v>10.867000000000001</v>
      </c>
      <c r="AS125">
        <f>AS107</f>
        <v>10.867000000000001</v>
      </c>
      <c r="AU125">
        <f>AVERAGE(AS124:AS126)</f>
        <v>10.927666666666667</v>
      </c>
      <c r="BC125" t="s">
        <v>11</v>
      </c>
      <c r="BD125">
        <v>10</v>
      </c>
      <c r="BK125" s="4">
        <v>1</v>
      </c>
      <c r="BL125" s="11"/>
      <c r="BM125" s="22"/>
      <c r="BO125" s="21"/>
      <c r="BP125" s="17"/>
      <c r="BQ125" s="17"/>
      <c r="BR125" s="5"/>
      <c r="CA125" s="21"/>
      <c r="CB125" s="21"/>
      <c r="CC125" s="26">
        <v>1</v>
      </c>
      <c r="CD125" s="11"/>
      <c r="CE125" s="22"/>
      <c r="CH125" s="21"/>
      <c r="CI125" s="17"/>
      <c r="CJ125" s="17"/>
      <c r="CK125" s="5"/>
    </row>
    <row r="126" spans="3:91" x14ac:dyDescent="0.25">
      <c r="E126" s="17"/>
      <c r="G126" s="4">
        <v>-10</v>
      </c>
      <c r="H126">
        <f>H106</f>
        <v>67.61</v>
      </c>
      <c r="I126" s="11">
        <f>AVERAGE(H124:H128)</f>
        <v>78.094000000000008</v>
      </c>
      <c r="K126" s="17">
        <f>K106</f>
        <v>4.5840706764572279E-3</v>
      </c>
      <c r="L126" s="17">
        <f>AVERAGE(K124:K128)</f>
        <v>5.2949033487243117E-3</v>
      </c>
      <c r="N126" s="17">
        <f>N106</f>
        <v>30.54</v>
      </c>
      <c r="O126" s="17">
        <f>AVERAGE(N124:N128)</f>
        <v>26.296000000000003</v>
      </c>
      <c r="W126" s="4">
        <v>0</v>
      </c>
      <c r="X126">
        <v>1018</v>
      </c>
      <c r="Y126" s="22">
        <f>AVERAGE(X124:X128)</f>
        <v>1004.5</v>
      </c>
      <c r="Z126" s="22">
        <f>AVERAGE(X125:X127)</f>
        <v>1018</v>
      </c>
      <c r="AA126" s="21">
        <f>X126*Pelvis!$I$11/1000</f>
        <v>6.8982341062788846E-2</v>
      </c>
      <c r="AB126" s="17">
        <f>AVERAGE(AA124:AA128)</f>
        <v>6.8067545773645766E-2</v>
      </c>
      <c r="AC126" s="17">
        <f>AVERAGE(AA125:AA127)</f>
        <v>6.8982341062788846E-2</v>
      </c>
      <c r="AD126" s="5">
        <v>8.06</v>
      </c>
      <c r="AE126">
        <f>AVERAGE(AD124:AD128)</f>
        <v>8.0833333333333339</v>
      </c>
      <c r="AF126">
        <f>AVERAGE(AD125:AD127)</f>
        <v>8.06</v>
      </c>
      <c r="AJ126" s="4">
        <v>-10</v>
      </c>
      <c r="AK126">
        <v>183.6</v>
      </c>
      <c r="AL126">
        <f>AL106</f>
        <v>196.3</v>
      </c>
      <c r="AM126" s="22">
        <f>AVERAGE(AL124:AL128)</f>
        <v>216.63999999999996</v>
      </c>
      <c r="AO126" s="21">
        <f>AL126*Breast!$B$22/1000</f>
        <v>2.8042857142857144E-2</v>
      </c>
      <c r="AP126" s="17">
        <f>AVERAGE(AO124:AO128)</f>
        <v>3.0948571428571426E-2</v>
      </c>
      <c r="AQ126" s="17"/>
      <c r="AR126" s="5">
        <v>11.16</v>
      </c>
      <c r="AS126">
        <f>AS106</f>
        <v>11.16</v>
      </c>
      <c r="AT126">
        <f>AVERAGE(AS124:AS128)</f>
        <v>10.9278</v>
      </c>
      <c r="BC126" t="s">
        <v>12</v>
      </c>
      <c r="BD126">
        <v>10</v>
      </c>
      <c r="BK126" s="4">
        <v>0</v>
      </c>
      <c r="BL126" s="11">
        <f>1018*$BD$114</f>
        <v>84.833333333333343</v>
      </c>
      <c r="BM126" s="22">
        <f>AVERAGE(BL124:BL128)</f>
        <v>83.708333333333343</v>
      </c>
      <c r="BN126" s="22">
        <f>AVERAGE(BL125:BL127)</f>
        <v>84.833333333333343</v>
      </c>
      <c r="BO126" s="21">
        <f>BL126*Head!$K$12/1000</f>
        <v>5.751841380261127E-3</v>
      </c>
      <c r="BP126" s="17">
        <f>AVERAGE(BO124:BO128)</f>
        <v>5.6755645053755419E-3</v>
      </c>
      <c r="BQ126" s="17">
        <f>AVERAGE(BO125:BO127)</f>
        <v>5.751841380261127E-3</v>
      </c>
      <c r="BR126" s="5">
        <v>8.06</v>
      </c>
      <c r="BS126">
        <f>AVERAGE(BR124:BR128)</f>
        <v>8.0833333333333339</v>
      </c>
      <c r="BT126">
        <f>AVERAGE(BR125:BR127)</f>
        <v>8.06</v>
      </c>
      <c r="CA126" s="21"/>
      <c r="CB126" s="21"/>
      <c r="CC126" s="26">
        <v>0</v>
      </c>
      <c r="CD126" s="11">
        <f>1018*$BD$121</f>
        <v>254.5</v>
      </c>
      <c r="CE126" s="22">
        <f>AVERAGE(CD124:CD128)</f>
        <v>251.125</v>
      </c>
      <c r="CF126" s="22">
        <f>AVERAGE(CD125:CD127)</f>
        <v>254.5</v>
      </c>
      <c r="CH126" s="21">
        <f>CD126*Thorax!$K$12/1000</f>
        <v>1.7235774560132196E-2</v>
      </c>
      <c r="CI126" s="17">
        <f>AVERAGE(CH124:CH128)</f>
        <v>1.7007205840523371E-2</v>
      </c>
      <c r="CJ126" s="17">
        <f>AVERAGE(CH125:CH127)</f>
        <v>1.7235774560132196E-2</v>
      </c>
      <c r="CK126" s="5">
        <v>8.06</v>
      </c>
      <c r="CL126">
        <f>AVERAGE(CK124:CK128)</f>
        <v>8.0833333333333339</v>
      </c>
      <c r="CM126">
        <f>AVERAGE(CK125:CK127)</f>
        <v>8.06</v>
      </c>
    </row>
    <row r="127" spans="3:91" x14ac:dyDescent="0.25">
      <c r="E127" s="17"/>
      <c r="G127" s="4">
        <v>-11</v>
      </c>
      <c r="H127">
        <f>D119</f>
        <v>60.83</v>
      </c>
      <c r="K127" s="17">
        <f>K105</f>
        <v>4.12437537714677E-3</v>
      </c>
      <c r="N127" s="17">
        <f>N105</f>
        <v>25.42</v>
      </c>
      <c r="W127" s="4">
        <v>-1</v>
      </c>
      <c r="Y127" s="22"/>
      <c r="AA127" s="21"/>
      <c r="AB127" s="17"/>
      <c r="AC127" s="17"/>
      <c r="AD127" s="5"/>
      <c r="AJ127" s="4">
        <v>-11</v>
      </c>
      <c r="AK127">
        <v>172.8</v>
      </c>
      <c r="AL127">
        <f>AL105</f>
        <v>172.8</v>
      </c>
      <c r="AM127" s="22"/>
      <c r="AO127" s="21">
        <f>AL127*Breast!$B$22/1000</f>
        <v>2.4685714285714287E-2</v>
      </c>
      <c r="AP127" s="17"/>
      <c r="AQ127" s="17"/>
      <c r="AR127" s="5">
        <v>10.629</v>
      </c>
      <c r="AS127">
        <f>AS105</f>
        <v>10.629</v>
      </c>
      <c r="BC127" t="s">
        <v>113</v>
      </c>
      <c r="BD127">
        <f>BD125*BD126*10^-3</f>
        <v>0.1</v>
      </c>
      <c r="BK127" s="4">
        <v>-1</v>
      </c>
      <c r="BL127" s="11"/>
      <c r="BM127" s="22"/>
      <c r="BO127" s="21"/>
      <c r="BP127" s="17"/>
      <c r="BQ127" s="17"/>
      <c r="BR127" s="5"/>
      <c r="CA127" s="21"/>
      <c r="CB127" s="21"/>
      <c r="CC127" s="26">
        <v>-1</v>
      </c>
      <c r="CD127" s="11"/>
      <c r="CE127" s="22"/>
      <c r="CH127" s="21"/>
      <c r="CI127" s="17"/>
      <c r="CJ127" s="17"/>
      <c r="CK127" s="5"/>
    </row>
    <row r="128" spans="3:91" x14ac:dyDescent="0.25">
      <c r="E128" s="17"/>
      <c r="G128" s="4">
        <v>-12</v>
      </c>
      <c r="H128">
        <f>D120</f>
        <v>58.72</v>
      </c>
      <c r="J128">
        <f>AVERAGE(H127:H129)</f>
        <v>58.073333333333331</v>
      </c>
      <c r="K128" s="17">
        <f>K104</f>
        <v>3.9813138606946963E-3</v>
      </c>
      <c r="M128">
        <f>AVERAGE(K127:K129)</f>
        <v>3.937468782982686E-3</v>
      </c>
      <c r="N128" s="17">
        <f>N104</f>
        <v>26.5</v>
      </c>
      <c r="P128">
        <f>AVERAGE(N127:N129)</f>
        <v>24.47666666666667</v>
      </c>
      <c r="W128" s="4">
        <v>-2</v>
      </c>
      <c r="X128">
        <v>971.5</v>
      </c>
      <c r="Y128" s="22"/>
      <c r="AA128" s="21">
        <f>X128*Pelvis!$I$11/1000</f>
        <v>6.5831379511296029E-2</v>
      </c>
      <c r="AB128" s="17"/>
      <c r="AC128" s="17"/>
      <c r="AD128" s="5">
        <v>8.1460000000000008</v>
      </c>
      <c r="AJ128" s="4">
        <v>-12</v>
      </c>
      <c r="AK128">
        <v>163.1</v>
      </c>
      <c r="AL128">
        <f>AL104</f>
        <v>163.1</v>
      </c>
      <c r="AM128" s="22"/>
      <c r="AN128" s="22">
        <f>AVERAGE(AL127:AL129)</f>
        <v>163.53333333333333</v>
      </c>
      <c r="AO128" s="21">
        <f>AL128*Breast!$B$22/1000</f>
        <v>2.3299999999999998E-2</v>
      </c>
      <c r="AP128" s="17"/>
      <c r="AQ128" s="17">
        <f>AVERAGE(AO127:AO129)</f>
        <v>2.3361904761904761E-2</v>
      </c>
      <c r="AR128" s="5">
        <v>11.227</v>
      </c>
      <c r="AS128">
        <f>AS104</f>
        <v>11.227</v>
      </c>
      <c r="AU128">
        <f>AVERAGE(AS127:AS129)</f>
        <v>10.935333333333332</v>
      </c>
      <c r="BC128" t="s">
        <v>114</v>
      </c>
      <c r="BD128">
        <f>BD127/BD107</f>
        <v>8.3333333333333343E-2</v>
      </c>
      <c r="BK128" s="4">
        <v>-2</v>
      </c>
      <c r="BL128" s="11">
        <f>971.5*$BD$114</f>
        <v>80.958333333333343</v>
      </c>
      <c r="BM128" s="22"/>
      <c r="BO128" s="21">
        <f>BL128*Head!$K$12/1000</f>
        <v>5.4891099223218914E-3</v>
      </c>
      <c r="BP128" s="17"/>
      <c r="BQ128" s="17"/>
      <c r="BR128" s="5">
        <v>8.1460000000000008</v>
      </c>
      <c r="CA128" s="21"/>
      <c r="CB128" s="21"/>
      <c r="CC128" s="26">
        <v>-2</v>
      </c>
      <c r="CD128" s="11">
        <f>971.5*$BD$121</f>
        <v>242.875</v>
      </c>
      <c r="CE128" s="22"/>
      <c r="CH128" s="21">
        <f>CD128*Thorax!$K$12/1000</f>
        <v>1.6448482303701797E-2</v>
      </c>
      <c r="CI128" s="17"/>
      <c r="CJ128" s="17"/>
      <c r="CK128" s="5">
        <v>8.1460000000000008</v>
      </c>
    </row>
    <row r="129" spans="5:91" x14ac:dyDescent="0.25">
      <c r="E129" s="17"/>
      <c r="G129" s="4">
        <v>-13</v>
      </c>
      <c r="H129">
        <f>D121</f>
        <v>54.67</v>
      </c>
      <c r="K129" s="17">
        <f>K103</f>
        <v>3.7067171111065914E-3</v>
      </c>
      <c r="N129" s="17">
        <f>N103</f>
        <v>21.51</v>
      </c>
      <c r="W129" s="4">
        <v>-3</v>
      </c>
      <c r="Y129" s="22"/>
      <c r="Z129" s="22">
        <f>AVERAGE(X128:X130)</f>
        <v>925.05</v>
      </c>
      <c r="AA129" s="21"/>
      <c r="AB129" s="17"/>
      <c r="AC129" s="17">
        <f>AVERAGE(AA128:AA130)</f>
        <v>6.2683806090503752E-2</v>
      </c>
      <c r="AD129" s="5"/>
      <c r="AF129">
        <f>AVERAGE(AD128:AD130)</f>
        <v>8.2495000000000012</v>
      </c>
      <c r="AJ129" s="4">
        <v>-13</v>
      </c>
      <c r="AK129">
        <v>154.69999999999999</v>
      </c>
      <c r="AL129">
        <f>AL103</f>
        <v>154.69999999999999</v>
      </c>
      <c r="AM129" s="22"/>
      <c r="AO129" s="21">
        <f>AL129*Breast!$B$22/1000</f>
        <v>2.2099999999999998E-2</v>
      </c>
      <c r="AP129" s="17"/>
      <c r="AQ129" s="17"/>
      <c r="AR129">
        <v>10.95</v>
      </c>
      <c r="AS129">
        <f>AS103</f>
        <v>10.95</v>
      </c>
      <c r="BK129" s="4">
        <v>-3</v>
      </c>
      <c r="BL129" s="11"/>
      <c r="BM129" s="22"/>
      <c r="BN129" s="22">
        <f>AVERAGE(BL128:BL130)</f>
        <v>77.087500000000006</v>
      </c>
      <c r="BO129" s="21"/>
      <c r="BP129" s="17"/>
      <c r="BQ129" s="17">
        <f>AVERAGE(BO128:BO130)</f>
        <v>5.2266609713266764E-3</v>
      </c>
      <c r="BR129" s="5"/>
      <c r="BT129">
        <f>AVERAGE(BR128:BR130)</f>
        <v>8.2495000000000012</v>
      </c>
      <c r="CA129" s="21"/>
      <c r="CB129" s="21"/>
      <c r="CC129" s="26">
        <v>-3</v>
      </c>
      <c r="CD129" s="11"/>
      <c r="CE129" s="22"/>
      <c r="CF129" s="22">
        <f>AVERAGE(CD128:CD130)</f>
        <v>231.26249999999999</v>
      </c>
      <c r="CH129" s="21"/>
      <c r="CI129" s="17"/>
      <c r="CJ129" s="17">
        <f>AVERAGE(CH128:CH130)</f>
        <v>1.5662036598084763E-2</v>
      </c>
      <c r="CK129" s="5"/>
      <c r="CM129">
        <f>AVERAGE(CK128:CK130)</f>
        <v>8.2495000000000012</v>
      </c>
    </row>
    <row r="130" spans="5:91" x14ac:dyDescent="0.25">
      <c r="E130" s="17"/>
      <c r="G130" s="4">
        <v>-14</v>
      </c>
      <c r="H130">
        <f>D122</f>
        <v>13.51</v>
      </c>
      <c r="K130" s="17">
        <f>K102</f>
        <v>9.1600051529266589E-4</v>
      </c>
      <c r="N130" s="17">
        <f>N102</f>
        <v>14.92</v>
      </c>
      <c r="W130" s="4">
        <v>-4</v>
      </c>
      <c r="X130">
        <v>878.6</v>
      </c>
      <c r="Y130" s="22"/>
      <c r="AA130" s="21">
        <f>X130*Pelvis!$I$11/1000</f>
        <v>5.9536232669711475E-2</v>
      </c>
      <c r="AB130" s="17"/>
      <c r="AC130" s="17"/>
      <c r="AD130" s="5">
        <v>8.3529999999999998</v>
      </c>
      <c r="AJ130" s="4">
        <v>-14</v>
      </c>
      <c r="AK130">
        <v>89.36</v>
      </c>
      <c r="AL130">
        <f>AL102</f>
        <v>89.36</v>
      </c>
      <c r="AM130" s="22"/>
      <c r="AO130" s="21">
        <f>AL130*Breast!$B$22/1000</f>
        <v>1.2765714285714285E-2</v>
      </c>
      <c r="AP130" s="17"/>
      <c r="AQ130" s="17"/>
      <c r="AR130">
        <v>10.807</v>
      </c>
      <c r="AS130">
        <f>AS102</f>
        <v>10.807</v>
      </c>
      <c r="BC130" t="s">
        <v>124</v>
      </c>
      <c r="BK130" s="4">
        <v>-4</v>
      </c>
      <c r="BL130" s="11">
        <f>878.6*$BD$114</f>
        <v>73.216666666666683</v>
      </c>
      <c r="BM130" s="22"/>
      <c r="BO130" s="21">
        <f>BL130*Head!$K$12/1000</f>
        <v>4.9642120203314604E-3</v>
      </c>
      <c r="BP130" s="17"/>
      <c r="BQ130" s="17"/>
      <c r="BR130" s="5">
        <v>8.3529999999999998</v>
      </c>
      <c r="CA130" s="21"/>
      <c r="CB130" s="21"/>
      <c r="CC130" s="26">
        <v>-4</v>
      </c>
      <c r="CD130" s="11">
        <f>878.6*$BD$121</f>
        <v>219.65</v>
      </c>
      <c r="CE130" s="22"/>
      <c r="CH130" s="21">
        <f>CD130*Thorax!$K$12/1000</f>
        <v>1.4875590892467731E-2</v>
      </c>
      <c r="CI130" s="17"/>
      <c r="CJ130" s="17"/>
      <c r="CK130" s="5">
        <v>8.3529999999999998</v>
      </c>
    </row>
    <row r="131" spans="5:91" x14ac:dyDescent="0.25">
      <c r="E131" s="17"/>
      <c r="G131" s="4">
        <v>-15</v>
      </c>
      <c r="H131">
        <f>D123</f>
        <v>6.3449999999999998</v>
      </c>
      <c r="I131" s="11">
        <f>AVERAGE(H129:H131)</f>
        <v>24.841666666666669</v>
      </c>
      <c r="J131">
        <f>AVERAGE(H130:H132)</f>
        <v>9.9275000000000002</v>
      </c>
      <c r="K131" s="17">
        <f>K101</f>
        <v>4.3020157435469766E-4</v>
      </c>
      <c r="L131" s="17">
        <f>AVERAGE(K129:K131)</f>
        <v>1.6843064002513182E-3</v>
      </c>
      <c r="M131">
        <f>AVERAGE(K130:K132)</f>
        <v>6.7310104482368183E-4</v>
      </c>
      <c r="N131" s="17">
        <f>N101</f>
        <v>8.7759999999999998</v>
      </c>
      <c r="O131" s="17">
        <f>AVERAGE(N129:N131)</f>
        <v>15.068666666666667</v>
      </c>
      <c r="P131" s="17">
        <f>AVERAGE(N130:N132)</f>
        <v>11.847999999999999</v>
      </c>
      <c r="W131" s="4">
        <v>-5</v>
      </c>
      <c r="Y131" s="22">
        <f>AVERAGE(X129:X133)</f>
        <v>809.15000000000009</v>
      </c>
      <c r="AA131" s="21"/>
      <c r="AB131" s="17">
        <f>AVERAGE(AA129:AA133)</f>
        <v>5.4830119126675438E-2</v>
      </c>
      <c r="AC131" s="17"/>
      <c r="AD131" s="5"/>
      <c r="AE131">
        <f>AVERAGE(AD129:AD133)</f>
        <v>8.5809999999999995</v>
      </c>
      <c r="AJ131" s="6">
        <v>-15</v>
      </c>
      <c r="AK131" s="7">
        <v>18.62</v>
      </c>
      <c r="AL131">
        <f>AL101</f>
        <v>18.62</v>
      </c>
      <c r="AM131" s="22">
        <f>AVERAGE(AL129:AL133)</f>
        <v>87.56</v>
      </c>
      <c r="AN131" s="22">
        <f>AVERAGE(AL130:AL132)</f>
        <v>53.99</v>
      </c>
      <c r="AO131" s="21">
        <f>AL131*Breast!$B$22/1000</f>
        <v>2.66E-3</v>
      </c>
      <c r="AP131" s="17">
        <f>AVERAGE(AO129:AO133)</f>
        <v>1.250857142857143E-2</v>
      </c>
      <c r="AQ131" s="17">
        <f>AVERAGE(AO130:AO132)</f>
        <v>7.7128571428571428E-3</v>
      </c>
      <c r="AR131">
        <v>8.7029999999999994</v>
      </c>
      <c r="AS131">
        <f>AS101</f>
        <v>8.7029999999999994</v>
      </c>
      <c r="AT131">
        <f>AVERAGE(AS129:AS133)</f>
        <v>10.153333333333332</v>
      </c>
      <c r="AU131">
        <f>AVERAGE(AS130:AS132)</f>
        <v>9.754999999999999</v>
      </c>
      <c r="BC131" t="s">
        <v>125</v>
      </c>
      <c r="BK131" s="4">
        <v>-5</v>
      </c>
      <c r="BL131" s="11"/>
      <c r="BM131" s="22">
        <f>AVERAGE(BL129:BL133)</f>
        <v>67.429166666666674</v>
      </c>
      <c r="BO131" s="21"/>
      <c r="BP131" s="17">
        <f>AVERAGE(BO129:BO133)</f>
        <v>4.5718098750867301E-3</v>
      </c>
      <c r="BQ131" s="17"/>
      <c r="BR131" s="5"/>
      <c r="BS131">
        <f>AVERAGE(BR129:BR133)</f>
        <v>8.5809999999999995</v>
      </c>
      <c r="CA131" s="21"/>
      <c r="CB131" s="21"/>
      <c r="CC131" s="26">
        <v>-5</v>
      </c>
      <c r="CD131" s="11"/>
      <c r="CE131" s="22">
        <f>AVERAGE(CD129:CD133)</f>
        <v>202.28750000000002</v>
      </c>
      <c r="CH131" s="21"/>
      <c r="CI131" s="17">
        <f>AVERAGE(CH129:CH133)</f>
        <v>1.3699731812702327E-2</v>
      </c>
      <c r="CJ131" s="17"/>
      <c r="CK131" s="5"/>
      <c r="CL131">
        <f>AVERAGE(CK129:CK133)</f>
        <v>8.5809999999999995</v>
      </c>
    </row>
    <row r="132" spans="5:91" x14ac:dyDescent="0.25">
      <c r="E132" s="17"/>
      <c r="W132" s="4">
        <v>-6</v>
      </c>
      <c r="X132">
        <v>739.7</v>
      </c>
      <c r="Y132" s="22"/>
      <c r="Z132" s="22">
        <f>AVERAGE(X131:X133)</f>
        <v>739.7</v>
      </c>
      <c r="AA132" s="21">
        <f>X132*Pelvis!$I$11/1000</f>
        <v>5.01240055836394E-2</v>
      </c>
      <c r="AB132" s="17"/>
      <c r="AC132" s="17">
        <f>AVERAGE(AA131:AA133)</f>
        <v>5.01240055836394E-2</v>
      </c>
      <c r="AD132" s="5">
        <v>8.8089999999999993</v>
      </c>
      <c r="AF132">
        <f>AVERAGE(AD131:AD133)</f>
        <v>8.8089999999999993</v>
      </c>
      <c r="BK132" s="4">
        <v>-6</v>
      </c>
      <c r="BL132" s="11">
        <f>739.7*$BD$114</f>
        <v>61.64166666666668</v>
      </c>
      <c r="BM132" s="22"/>
      <c r="BN132" s="22">
        <f>AVERAGE(BL131:BL133)</f>
        <v>61.64166666666668</v>
      </c>
      <c r="BO132" s="21">
        <f>BL132*Head!$K$12/1000</f>
        <v>4.1794077298420006E-3</v>
      </c>
      <c r="BP132" s="17"/>
      <c r="BQ132" s="17">
        <f>AVERAGE(BO131:BO133)</f>
        <v>4.1794077298420006E-3</v>
      </c>
      <c r="BR132" s="5">
        <v>8.8089999999999993</v>
      </c>
      <c r="BT132">
        <f>AVERAGE(BR131:BR133)</f>
        <v>8.8089999999999993</v>
      </c>
      <c r="CA132" s="21"/>
      <c r="CB132" s="21"/>
      <c r="CC132" s="26">
        <v>-6</v>
      </c>
      <c r="CD132" s="11">
        <f>739.7*$BD$121</f>
        <v>184.92500000000001</v>
      </c>
      <c r="CE132" s="22"/>
      <c r="CF132" s="22">
        <f>AVERAGE(CD131:CD133)</f>
        <v>184.92500000000001</v>
      </c>
      <c r="CH132" s="21">
        <f>CD132*Thorax!$K$12/1000</f>
        <v>1.2523872732936923E-2</v>
      </c>
      <c r="CI132" s="17"/>
      <c r="CJ132" s="17">
        <f>AVERAGE(CH131:CH133)</f>
        <v>1.2523872732936923E-2</v>
      </c>
      <c r="CK132" s="5">
        <v>8.8089999999999993</v>
      </c>
      <c r="CM132">
        <f>AVERAGE(CK131:CK133)</f>
        <v>8.8089999999999993</v>
      </c>
    </row>
    <row r="133" spans="5:91" x14ac:dyDescent="0.25">
      <c r="E133" s="17"/>
      <c r="W133" s="4">
        <v>-7</v>
      </c>
      <c r="Y133" s="22"/>
      <c r="AA133" s="21"/>
      <c r="AB133" s="17"/>
      <c r="AC133" s="17"/>
      <c r="AD133" s="5"/>
      <c r="BK133" s="4">
        <v>-7</v>
      </c>
      <c r="BL133" s="11"/>
      <c r="BM133" s="22"/>
      <c r="BO133" s="21"/>
      <c r="BP133" s="17"/>
      <c r="BQ133" s="17"/>
      <c r="BR133" s="5"/>
      <c r="CA133" s="21"/>
      <c r="CB133" s="21"/>
      <c r="CC133" s="26">
        <v>-7</v>
      </c>
      <c r="CD133" s="11"/>
      <c r="CE133" s="22"/>
      <c r="CH133" s="21"/>
      <c r="CI133" s="17"/>
      <c r="CJ133" s="17"/>
      <c r="CK133" s="5"/>
    </row>
    <row r="134" spans="5:91" x14ac:dyDescent="0.25">
      <c r="E134" s="17"/>
      <c r="W134" s="4">
        <v>-8</v>
      </c>
      <c r="X134">
        <v>557.6</v>
      </c>
      <c r="Y134" s="22"/>
      <c r="AA134" s="21">
        <f>X134*Pelvis!$I$11/1000</f>
        <v>3.7784433572309491E-2</v>
      </c>
      <c r="AB134" s="17"/>
      <c r="AC134" s="17"/>
      <c r="AD134" s="5">
        <v>9.2040000000000006</v>
      </c>
      <c r="BK134" s="4">
        <v>-8</v>
      </c>
      <c r="BL134" s="11">
        <f>557.6*$BD$114</f>
        <v>46.466666666666676</v>
      </c>
      <c r="BM134" s="22"/>
      <c r="BO134" s="21">
        <f>BL134*Head!$K$12/1000</f>
        <v>3.1505174397186688E-3</v>
      </c>
      <c r="BP134" s="17"/>
      <c r="BQ134" s="17"/>
      <c r="BR134" s="5">
        <v>9.2040000000000006</v>
      </c>
      <c r="CA134" s="21"/>
      <c r="CB134" s="21"/>
      <c r="CC134" s="26">
        <v>-8</v>
      </c>
      <c r="CD134" s="11">
        <f>557.6*$BD$121</f>
        <v>139.4</v>
      </c>
      <c r="CE134" s="22"/>
      <c r="CH134" s="21">
        <f>CD134*Thorax!$K$12/1000</f>
        <v>9.4407346706578722E-3</v>
      </c>
      <c r="CI134" s="17"/>
      <c r="CJ134" s="17"/>
      <c r="CK134" s="5">
        <v>9.2040000000000006</v>
      </c>
    </row>
    <row r="135" spans="5:91" x14ac:dyDescent="0.25">
      <c r="E135" s="17"/>
      <c r="W135" s="4">
        <v>-9</v>
      </c>
      <c r="Y135" s="22"/>
      <c r="Z135" s="22">
        <f>AVERAGE(X134:X136)</f>
        <v>449.1</v>
      </c>
      <c r="AA135" s="21"/>
      <c r="AB135" s="17"/>
      <c r="AC135" s="17">
        <f>AVERAGE(AA134:AA136)</f>
        <v>3.04321899521596E-2</v>
      </c>
      <c r="AD135" s="5"/>
      <c r="AF135">
        <f>AVERAGE(AD134:AD136)</f>
        <v>9.5809999999999995</v>
      </c>
      <c r="BK135" s="4">
        <v>-9</v>
      </c>
      <c r="BL135" s="11"/>
      <c r="BM135" s="22"/>
      <c r="BN135" s="22">
        <f>AVERAGE(BL134:BL136)</f>
        <v>37.425000000000011</v>
      </c>
      <c r="BO135" s="21"/>
      <c r="BP135" s="17"/>
      <c r="BQ135" s="17">
        <f>AVERAGE(BO134:BO136)</f>
        <v>2.5374773711937847E-3</v>
      </c>
      <c r="BR135" s="5"/>
      <c r="BT135">
        <f>AVERAGE(BR134:BR136)</f>
        <v>9.5809999999999995</v>
      </c>
      <c r="CA135" s="21"/>
      <c r="CB135" s="21"/>
      <c r="CC135" s="26">
        <v>-9</v>
      </c>
      <c r="CD135" s="11"/>
      <c r="CE135" s="22"/>
      <c r="CF135" s="22">
        <f>AVERAGE(CD134:CD136)</f>
        <v>112.27500000000001</v>
      </c>
      <c r="CH135" s="21"/>
      <c r="CI135" s="17"/>
      <c r="CJ135" s="17">
        <f>AVERAGE(CH134:CH136)</f>
        <v>7.6037194056536063E-3</v>
      </c>
      <c r="CK135" s="5"/>
      <c r="CM135">
        <f>AVERAGE(CK134:CK136)</f>
        <v>9.5809999999999995</v>
      </c>
    </row>
    <row r="136" spans="5:91" x14ac:dyDescent="0.25">
      <c r="E136" s="17"/>
      <c r="W136" s="4">
        <v>-10</v>
      </c>
      <c r="X136">
        <v>340.6</v>
      </c>
      <c r="Y136" s="22">
        <f>AVERAGE(X134:X138)</f>
        <v>364.66666666666669</v>
      </c>
      <c r="AA136" s="21">
        <f>X136*Pelvis!$I$11/1000</f>
        <v>2.3079946332009708E-2</v>
      </c>
      <c r="AB136" s="17">
        <f>AVERAGE(AA134:AA138)</f>
        <v>2.4710766575864768E-2</v>
      </c>
      <c r="AC136" s="17"/>
      <c r="AD136" s="5">
        <v>9.9580000000000002</v>
      </c>
      <c r="AE136">
        <f>AVERAGE(AD134:AD138)</f>
        <v>9.9109999999999996</v>
      </c>
      <c r="BK136" s="4">
        <v>-10</v>
      </c>
      <c r="BL136" s="11">
        <f>340.6*$BD$114</f>
        <v>28.38333333333334</v>
      </c>
      <c r="BM136" s="22">
        <f>AVERAGE(BL134:BL138)</f>
        <v>30.388888888888896</v>
      </c>
      <c r="BO136" s="21">
        <f>BL136*Head!$K$12/1000</f>
        <v>1.9244373026689001E-3</v>
      </c>
      <c r="BP136" s="17">
        <f>AVERAGE(BO134:BO138)</f>
        <v>2.0604173117241896E-3</v>
      </c>
      <c r="BQ136" s="17"/>
      <c r="BR136" s="5">
        <v>9.9580000000000002</v>
      </c>
      <c r="BS136">
        <f>AVERAGE(BR134:BR138)</f>
        <v>9.9109999999999996</v>
      </c>
      <c r="CA136" s="21"/>
      <c r="CB136" s="21"/>
      <c r="CC136" s="26">
        <v>-10</v>
      </c>
      <c r="CD136" s="11">
        <f>340.6*$BD$121</f>
        <v>85.15</v>
      </c>
      <c r="CE136" s="22">
        <f>AVERAGE(CD134:CD138)</f>
        <v>91.166666666666671</v>
      </c>
      <c r="CH136" s="21">
        <f>CD136*Thorax!$K$12/1000</f>
        <v>5.7667041406493395E-3</v>
      </c>
      <c r="CI136" s="17">
        <f>AVERAGE(CH134:CH138)</f>
        <v>6.1741772654828513E-3</v>
      </c>
      <c r="CJ136" s="17"/>
      <c r="CK136" s="5">
        <v>9.9580000000000002</v>
      </c>
      <c r="CL136">
        <f>AVERAGE(CK134:CK138)</f>
        <v>9.9109999999999996</v>
      </c>
    </row>
    <row r="137" spans="5:91" x14ac:dyDescent="0.25">
      <c r="E137" s="17"/>
      <c r="W137" s="4">
        <v>-11</v>
      </c>
      <c r="Y137" s="22"/>
      <c r="AA137" s="21"/>
      <c r="AB137" s="17"/>
      <c r="AC137" s="17"/>
      <c r="AD137" s="5"/>
      <c r="BK137" s="4">
        <v>-11</v>
      </c>
      <c r="BL137" s="11"/>
      <c r="BM137" s="22"/>
      <c r="BO137" s="21"/>
      <c r="BP137" s="17"/>
      <c r="BQ137" s="17"/>
      <c r="BR137" s="5"/>
      <c r="CA137" s="21"/>
      <c r="CB137" s="21"/>
      <c r="CC137" s="26">
        <v>-11</v>
      </c>
      <c r="CD137" s="11"/>
      <c r="CE137" s="22"/>
      <c r="CH137" s="21"/>
      <c r="CI137" s="17"/>
      <c r="CJ137" s="17"/>
      <c r="CK137" s="5"/>
    </row>
    <row r="138" spans="5:91" x14ac:dyDescent="0.25">
      <c r="E138" s="17"/>
      <c r="W138" s="4">
        <v>-12</v>
      </c>
      <c r="X138">
        <v>195.8</v>
      </c>
      <c r="Y138" s="22"/>
      <c r="Z138" s="22">
        <f>AVERAGE(X137:X139)</f>
        <v>182.85000000000002</v>
      </c>
      <c r="AA138" s="21">
        <f>X138*Pelvis!$I$11/1000</f>
        <v>1.3267919823275104E-2</v>
      </c>
      <c r="AB138" s="17"/>
      <c r="AC138" s="17">
        <f>AVERAGE(AA137:AA139)</f>
        <v>1.239039397183786E-2</v>
      </c>
      <c r="AD138" s="5">
        <v>10.571</v>
      </c>
      <c r="AF138">
        <f>AVERAGE(AD137:AD139)</f>
        <v>10.3155</v>
      </c>
      <c r="BK138" s="4">
        <v>-12</v>
      </c>
      <c r="BL138" s="11">
        <f>195.8*$BD$114</f>
        <v>16.31666666666667</v>
      </c>
      <c r="BM138" s="22"/>
      <c r="BN138" s="22">
        <f>AVERAGE(BL137:BL139)</f>
        <v>15.237500000000002</v>
      </c>
      <c r="BO138" s="21">
        <f>BL138*Head!$K$12/1000</f>
        <v>1.1062971927849989E-3</v>
      </c>
      <c r="BP138" s="17"/>
      <c r="BQ138" s="17">
        <f>AVERAGE(BO137:BO139)</f>
        <v>1.0331278942836417E-3</v>
      </c>
      <c r="BR138" s="5">
        <v>10.571</v>
      </c>
      <c r="BT138">
        <f>AVERAGE(BR137:BR139)</f>
        <v>10.3155</v>
      </c>
      <c r="CA138" s="21"/>
      <c r="CB138" s="21"/>
      <c r="CC138" s="26">
        <v>-12</v>
      </c>
      <c r="CD138" s="11">
        <f>195.8*$BD$121</f>
        <v>48.95</v>
      </c>
      <c r="CE138" s="22"/>
      <c r="CF138" s="22">
        <f>AVERAGE(CD137:CD139)</f>
        <v>45.712500000000006</v>
      </c>
      <c r="CH138" s="21">
        <f>CD138*Thorax!$K$12/1000</f>
        <v>3.3150929851413404E-3</v>
      </c>
      <c r="CI138" s="17"/>
      <c r="CJ138" s="17">
        <f>AVERAGE(CH137:CH139)</f>
        <v>3.0958363244795407E-3</v>
      </c>
      <c r="CK138" s="5">
        <v>10.571</v>
      </c>
      <c r="CM138">
        <f>AVERAGE(CK137:CK139)</f>
        <v>10.3155</v>
      </c>
    </row>
    <row r="139" spans="5:91" x14ac:dyDescent="0.25">
      <c r="E139" s="17"/>
      <c r="W139" s="4">
        <v>-13</v>
      </c>
      <c r="X139">
        <v>169.9</v>
      </c>
      <c r="Y139" s="22"/>
      <c r="AA139" s="21">
        <f>X139*Pelvis!$I$11/1000</f>
        <v>1.1512868120400614E-2</v>
      </c>
      <c r="AB139" s="17"/>
      <c r="AC139" s="17"/>
      <c r="AD139" s="5">
        <v>10.06</v>
      </c>
      <c r="BK139" s="4">
        <v>-13</v>
      </c>
      <c r="BL139" s="11">
        <f>169.9*$BD$114</f>
        <v>14.158333333333335</v>
      </c>
      <c r="BM139" s="22"/>
      <c r="BO139" s="21">
        <f>BL139*Head!$K$12/1000</f>
        <v>9.5995859578228452E-4</v>
      </c>
      <c r="BP139" s="17"/>
      <c r="BQ139" s="17"/>
      <c r="BR139" s="5">
        <v>10.06</v>
      </c>
      <c r="CA139" s="21"/>
      <c r="CB139" s="21"/>
      <c r="CC139" s="26">
        <v>-13</v>
      </c>
      <c r="CD139" s="11">
        <f>169.9*$BD$121</f>
        <v>42.475000000000001</v>
      </c>
      <c r="CE139" s="22"/>
      <c r="CH139" s="21">
        <f>CD139*Thorax!$K$12/1000</f>
        <v>2.8765796638177414E-3</v>
      </c>
      <c r="CI139" s="17"/>
      <c r="CJ139" s="17"/>
      <c r="CK139" s="5">
        <v>10.06</v>
      </c>
    </row>
    <row r="140" spans="5:91" x14ac:dyDescent="0.25">
      <c r="E140" s="17"/>
      <c r="W140" s="4">
        <v>-14</v>
      </c>
      <c r="X140">
        <v>42.3</v>
      </c>
      <c r="Y140" s="22"/>
      <c r="AA140" s="21">
        <f>X140*Pelvis!$I$11/1000</f>
        <v>2.8663585726482984E-3</v>
      </c>
      <c r="AB140" s="17"/>
      <c r="AC140" s="17"/>
      <c r="AD140" s="5">
        <v>8.5890000000000004</v>
      </c>
      <c r="BK140" s="4">
        <v>-14</v>
      </c>
      <c r="BL140" s="11">
        <f>42.3*$BD$114</f>
        <v>3.5250000000000004</v>
      </c>
      <c r="BM140" s="22"/>
      <c r="BO140" s="21">
        <f>BL140*Head!$K$12/1000</f>
        <v>2.3900087464149872E-4</v>
      </c>
      <c r="BP140" s="17"/>
      <c r="BQ140" s="17"/>
      <c r="BR140" s="5">
        <v>8.5890000000000004</v>
      </c>
      <c r="CA140" s="21"/>
      <c r="CB140" s="21"/>
      <c r="CC140" s="26">
        <v>-14</v>
      </c>
      <c r="CD140" s="11">
        <f>42.3*$BD$121</f>
        <v>10.574999999999999</v>
      </c>
      <c r="CE140" s="22"/>
      <c r="CH140" s="21">
        <f>CD140*Thorax!$K$12/1000</f>
        <v>7.1618198810765405E-4</v>
      </c>
      <c r="CI140" s="17"/>
      <c r="CJ140" s="17"/>
      <c r="CK140" s="5">
        <v>8.5890000000000004</v>
      </c>
    </row>
    <row r="141" spans="5:91" x14ac:dyDescent="0.25">
      <c r="E141" s="17"/>
      <c r="W141" s="6">
        <v>-15</v>
      </c>
      <c r="X141" s="7">
        <v>22.68</v>
      </c>
      <c r="Y141" s="22">
        <f>AVERAGE(X139:X141)</f>
        <v>78.293333333333337</v>
      </c>
      <c r="Z141" s="22">
        <f>AVERAGE(X140:X141)</f>
        <v>32.489999999999995</v>
      </c>
      <c r="AA141" s="21">
        <f>X141*Pelvis!$I$11/1000</f>
        <v>1.5368560857603644E-3</v>
      </c>
      <c r="AB141" s="17">
        <f>AVERAGE(AA139:AA141)</f>
        <v>5.3053609262697582E-3</v>
      </c>
      <c r="AC141" s="17">
        <f>AVERAGE(AA140:AA141)</f>
        <v>2.2016073292043313E-3</v>
      </c>
      <c r="AD141" s="8">
        <v>8.0259999999999998</v>
      </c>
      <c r="AE141">
        <f>AVERAGE(AD139:AD141)</f>
        <v>8.8916666666666675</v>
      </c>
      <c r="AF141">
        <f>AVERAGE(AD132:AD141)</f>
        <v>9.3167142857142853</v>
      </c>
      <c r="BK141" s="6">
        <v>-15</v>
      </c>
      <c r="BL141" s="23">
        <f>22.68*$BD$114</f>
        <v>1.8900000000000001</v>
      </c>
      <c r="BM141" s="22">
        <f>AVERAGE(BL139:BL141)</f>
        <v>6.5244444444444456</v>
      </c>
      <c r="BN141" s="22">
        <f>AVERAGE(BL140:BL141)</f>
        <v>2.7075000000000005</v>
      </c>
      <c r="BO141" s="21">
        <f>BL141*Head!$K$12/1000</f>
        <v>1.2814514980778231E-4</v>
      </c>
      <c r="BP141" s="17">
        <f>AVERAGE(BO139:BO141)</f>
        <v>4.4236820674385517E-4</v>
      </c>
      <c r="BQ141" s="17">
        <f>AVERAGE(BO140:BO141)</f>
        <v>1.8357301222464052E-4</v>
      </c>
      <c r="BR141" s="8">
        <v>8.0259999999999998</v>
      </c>
      <c r="BS141">
        <f>AVERAGE(BR139:BR141)</f>
        <v>8.8916666666666675</v>
      </c>
      <c r="BT141">
        <f>AVERAGE(BR140:BR141)</f>
        <v>8.307500000000001</v>
      </c>
      <c r="CA141" s="21"/>
      <c r="CB141" s="21"/>
      <c r="CC141" s="27">
        <v>-15</v>
      </c>
      <c r="CD141" s="23">
        <f>22.68*$BD$121</f>
        <v>5.67</v>
      </c>
      <c r="CE141" s="22">
        <f>AVERAGE(CD139:CD141)</f>
        <v>19.573333333333334</v>
      </c>
      <c r="CF141" s="22">
        <f>AVERAGE(CD132:CD141)</f>
        <v>73.877857142857138</v>
      </c>
      <c r="CH141" s="21">
        <f>CD141*Thorax!$K$12/1000</f>
        <v>3.8399544894282734E-4</v>
      </c>
      <c r="CI141" s="17">
        <f>AVERAGE(CH139:CH141)</f>
        <v>1.3255857002894076E-3</v>
      </c>
      <c r="CJ141" s="17">
        <f>AVERAGE(CH140:CH141)</f>
        <v>5.5008871852524073E-4</v>
      </c>
      <c r="CK141" s="8">
        <v>8.0259999999999998</v>
      </c>
      <c r="CL141">
        <f>AVERAGE(CK139:CK141)</f>
        <v>8.8916666666666675</v>
      </c>
      <c r="CM141">
        <f>AVERAGE(CK140:CK141)</f>
        <v>8.307500000000001</v>
      </c>
    </row>
    <row r="142" spans="5:91" x14ac:dyDescent="0.25">
      <c r="E142" s="17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</row>
    <row r="143" spans="5:91" x14ac:dyDescent="0.25">
      <c r="E143" s="17"/>
    </row>
    <row r="144" spans="5:91" x14ac:dyDescent="0.25">
      <c r="E144" s="17"/>
      <c r="CC144" t="s">
        <v>130</v>
      </c>
    </row>
    <row r="145" spans="5:94" x14ac:dyDescent="0.25">
      <c r="E145" s="17"/>
      <c r="CC145" t="s">
        <v>131</v>
      </c>
    </row>
    <row r="146" spans="5:94" x14ac:dyDescent="0.25">
      <c r="E146" s="17"/>
    </row>
    <row r="147" spans="5:94" x14ac:dyDescent="0.25">
      <c r="E147" s="17"/>
      <c r="CC147" t="s">
        <v>7</v>
      </c>
      <c r="CD147">
        <v>24.7</v>
      </c>
      <c r="CE147" t="s">
        <v>39</v>
      </c>
    </row>
    <row r="148" spans="5:94" x14ac:dyDescent="0.25">
      <c r="E148" s="17"/>
      <c r="CC148" t="s">
        <v>8</v>
      </c>
      <c r="CD148">
        <v>3.3</v>
      </c>
      <c r="CE148" t="s">
        <v>39</v>
      </c>
    </row>
    <row r="149" spans="5:94" x14ac:dyDescent="0.25">
      <c r="E149" s="17"/>
    </row>
    <row r="150" spans="5:94" x14ac:dyDescent="0.25">
      <c r="E150" s="17"/>
      <c r="CC150" t="s">
        <v>133</v>
      </c>
    </row>
    <row r="151" spans="5:94" x14ac:dyDescent="0.25">
      <c r="E151" s="17"/>
      <c r="CC151" s="25"/>
    </row>
    <row r="152" spans="5:94" x14ac:dyDescent="0.25">
      <c r="E152" s="17"/>
    </row>
    <row r="153" spans="5:94" x14ac:dyDescent="0.25">
      <c r="E153" s="17"/>
    </row>
    <row r="154" spans="5:94" x14ac:dyDescent="0.25">
      <c r="CP154" t="s">
        <v>134</v>
      </c>
    </row>
    <row r="159" spans="5:94" x14ac:dyDescent="0.25">
      <c r="CC159" s="25"/>
    </row>
    <row r="166" spans="2:3" x14ac:dyDescent="0.25">
      <c r="B166" t="s">
        <v>88</v>
      </c>
      <c r="C166">
        <v>-2.2000000000000002</v>
      </c>
    </row>
    <row r="167" spans="2:3" x14ac:dyDescent="0.25">
      <c r="B167" t="s">
        <v>89</v>
      </c>
      <c r="C167">
        <v>-13.8</v>
      </c>
    </row>
    <row r="168" spans="2:3" x14ac:dyDescent="0.25">
      <c r="B168" t="s">
        <v>90</v>
      </c>
      <c r="C168">
        <v>15</v>
      </c>
    </row>
    <row r="169" spans="2:3" x14ac:dyDescent="0.25">
      <c r="B169" t="s">
        <v>91</v>
      </c>
      <c r="C169">
        <v>15</v>
      </c>
    </row>
    <row r="171" spans="2:3" x14ac:dyDescent="0.25">
      <c r="B171" t="s">
        <v>92</v>
      </c>
      <c r="C171">
        <f>(C166^2/C168^2)+C167^2/C169^2</f>
        <v>0.8679111111111113</v>
      </c>
    </row>
    <row r="204" spans="4:5" x14ac:dyDescent="0.25">
      <c r="D204" t="s">
        <v>111</v>
      </c>
    </row>
    <row r="206" spans="4:5" x14ac:dyDescent="0.25">
      <c r="D206" s="15" t="s">
        <v>16</v>
      </c>
    </row>
    <row r="207" spans="4:5" x14ac:dyDescent="0.25">
      <c r="D207" t="s">
        <v>11</v>
      </c>
      <c r="E207">
        <v>60</v>
      </c>
    </row>
    <row r="208" spans="4:5" x14ac:dyDescent="0.25">
      <c r="D208" t="s">
        <v>12</v>
      </c>
      <c r="E208">
        <v>20</v>
      </c>
    </row>
    <row r="209" spans="4:5" x14ac:dyDescent="0.25">
      <c r="D209" t="s">
        <v>113</v>
      </c>
      <c r="E209">
        <f>E207*E208*10^-3</f>
        <v>1.2</v>
      </c>
    </row>
    <row r="212" spans="4:5" x14ac:dyDescent="0.25">
      <c r="D212" s="15" t="s">
        <v>112</v>
      </c>
    </row>
    <row r="213" spans="4:5" x14ac:dyDescent="0.25">
      <c r="D213" t="s">
        <v>11</v>
      </c>
      <c r="E213">
        <v>10</v>
      </c>
    </row>
    <row r="214" spans="4:5" x14ac:dyDescent="0.25">
      <c r="D214" t="s">
        <v>12</v>
      </c>
      <c r="E214">
        <v>10</v>
      </c>
    </row>
    <row r="215" spans="4:5" x14ac:dyDescent="0.25">
      <c r="D215" t="s">
        <v>113</v>
      </c>
      <c r="E215">
        <f>E213*E214*10^-3</f>
        <v>0.1</v>
      </c>
    </row>
    <row r="216" spans="4:5" x14ac:dyDescent="0.25">
      <c r="D216" t="s">
        <v>114</v>
      </c>
      <c r="E216">
        <f>E215/E209</f>
        <v>8.3333333333333343E-2</v>
      </c>
    </row>
    <row r="219" spans="4:5" x14ac:dyDescent="0.25">
      <c r="D219" s="15" t="s">
        <v>32</v>
      </c>
    </row>
    <row r="220" spans="4:5" x14ac:dyDescent="0.25">
      <c r="D220" t="s">
        <v>11</v>
      </c>
      <c r="E220">
        <v>15</v>
      </c>
    </row>
    <row r="221" spans="4:5" x14ac:dyDescent="0.25">
      <c r="D221" t="s">
        <v>12</v>
      </c>
      <c r="E221">
        <v>20</v>
      </c>
    </row>
    <row r="222" spans="4:5" x14ac:dyDescent="0.25">
      <c r="D222" t="s">
        <v>113</v>
      </c>
      <c r="E222">
        <f>E220*E221*10^-3</f>
        <v>0.3</v>
      </c>
    </row>
    <row r="223" spans="4:5" x14ac:dyDescent="0.25">
      <c r="D223" t="s">
        <v>114</v>
      </c>
      <c r="E223">
        <f>E222/E209</f>
        <v>0.25</v>
      </c>
    </row>
    <row r="226" spans="4:5" x14ac:dyDescent="0.25">
      <c r="D226" s="15" t="s">
        <v>41</v>
      </c>
    </row>
    <row r="227" spans="4:5" x14ac:dyDescent="0.25">
      <c r="D227" t="s">
        <v>11</v>
      </c>
      <c r="E227">
        <v>10</v>
      </c>
    </row>
    <row r="228" spans="4:5" x14ac:dyDescent="0.25">
      <c r="D228" t="s">
        <v>12</v>
      </c>
      <c r="E228">
        <v>10</v>
      </c>
    </row>
    <row r="229" spans="4:5" x14ac:dyDescent="0.25">
      <c r="D229" t="s">
        <v>113</v>
      </c>
      <c r="E229">
        <f>E227*E228*10^-3</f>
        <v>0.1</v>
      </c>
    </row>
    <row r="230" spans="4:5" x14ac:dyDescent="0.25">
      <c r="D230" t="s">
        <v>114</v>
      </c>
      <c r="E230">
        <f>E229/E209</f>
        <v>8.3333333333333343E-2</v>
      </c>
    </row>
    <row r="232" spans="4:5" x14ac:dyDescent="0.25">
      <c r="D232" t="s">
        <v>124</v>
      </c>
    </row>
    <row r="233" spans="4:5" x14ac:dyDescent="0.25">
      <c r="D233" t="s">
        <v>125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J9:L15"/>
  <sheetViews>
    <sheetView workbookViewId="0">
      <selection activeCell="K24" sqref="K24"/>
    </sheetView>
  </sheetViews>
  <sheetFormatPr defaultRowHeight="15" x14ac:dyDescent="0.25"/>
  <sheetData>
    <row r="9" spans="10:12" x14ac:dyDescent="0.25">
      <c r="J9" s="1" t="s">
        <v>41</v>
      </c>
      <c r="K9" s="2" t="s">
        <v>46</v>
      </c>
      <c r="L9" s="3" t="s">
        <v>47</v>
      </c>
    </row>
    <row r="10" spans="10:12" x14ac:dyDescent="0.25">
      <c r="J10" s="4"/>
      <c r="K10" t="s">
        <v>17</v>
      </c>
      <c r="L10" s="5">
        <v>125</v>
      </c>
    </row>
    <row r="11" spans="10:12" x14ac:dyDescent="0.25">
      <c r="J11" s="4"/>
      <c r="K11" t="s">
        <v>11</v>
      </c>
      <c r="L11" s="5">
        <v>10</v>
      </c>
    </row>
    <row r="12" spans="10:12" x14ac:dyDescent="0.25">
      <c r="J12" s="4"/>
      <c r="K12" t="s">
        <v>12</v>
      </c>
      <c r="L12" s="5">
        <v>10</v>
      </c>
    </row>
    <row r="13" spans="10:12" x14ac:dyDescent="0.25">
      <c r="J13" s="4"/>
      <c r="K13" t="s">
        <v>23</v>
      </c>
      <c r="L13" s="5">
        <v>7</v>
      </c>
    </row>
    <row r="14" spans="10:12" x14ac:dyDescent="0.25">
      <c r="J14" s="4"/>
      <c r="K14" t="s">
        <v>35</v>
      </c>
      <c r="L14" s="5" t="s">
        <v>37</v>
      </c>
    </row>
    <row r="15" spans="10:12" x14ac:dyDescent="0.25">
      <c r="J15" s="4"/>
      <c r="K15" t="s">
        <v>36</v>
      </c>
      <c r="L15" s="5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cbc9030d81e640854c0116722611bb2e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07747659ba48739c4d8ec91b97a53e44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7D39B6-E3AA-4862-B174-508BAE89D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5b3675-3c16-4528-90c2-3cb7b0ab6f71"/>
    <ds:schemaRef ds:uri="17c1e797-f5ee-4ead-ab3a-89411af36d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5F75C8-F87E-4BB8-918E-E28834E12170}">
  <ds:schemaRefs>
    <ds:schemaRef ds:uri="http://schemas.microsoft.com/office/2006/metadata/properties"/>
    <ds:schemaRef ds:uri="http://schemas.microsoft.com/office/infopath/2007/PartnerControls"/>
    <ds:schemaRef ds:uri="965b3675-3c16-4528-90c2-3cb7b0ab6f71"/>
    <ds:schemaRef ds:uri="17c1e797-f5ee-4ead-ab3a-89411af36d17"/>
  </ds:schemaRefs>
</ds:datastoreItem>
</file>

<file path=customXml/itemProps3.xml><?xml version="1.0" encoding="utf-8"?>
<ds:datastoreItem xmlns:ds="http://schemas.openxmlformats.org/officeDocument/2006/customXml" ds:itemID="{75FABEF9-8AAF-429F-AD9A-AB5F4BD13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Initial tests</vt:lpstr>
      <vt:lpstr>Head</vt:lpstr>
      <vt:lpstr>Pelvis</vt:lpstr>
      <vt:lpstr>Pelvis large</vt:lpstr>
      <vt:lpstr>Breast</vt:lpstr>
      <vt:lpstr>Thorax</vt:lpstr>
      <vt:lpstr>Image gently</vt:lpstr>
      <vt:lpstr>Collated data</vt:lpstr>
      <vt:lpstr>New tests August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ijuni</dc:creator>
  <cp:lastModifiedBy>Ethan Butson (Western Sydney LHD)</cp:lastModifiedBy>
  <dcterms:created xsi:type="dcterms:W3CDTF">2021-05-13T01:56:47Z</dcterms:created>
  <dcterms:modified xsi:type="dcterms:W3CDTF">2025-09-11T06:16:56Z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  <property fmtid="{D5CDD505-2E9C-101B-9397-08002B2CF9AE}" pid="3" name="MSIP_Label_00f30421-7766-42c6-b167-b4a273574e25_Enabled">
    <vt:lpwstr>true</vt:lpwstr>
  </property>
  <property fmtid="{D5CDD505-2E9C-101B-9397-08002B2CF9AE}" pid="4" name="MSIP_Label_00f30421-7766-42c6-b167-b4a273574e25_SetDate">
    <vt:lpwstr>2025-09-11T05:36:47Z</vt:lpwstr>
  </property>
  <property fmtid="{D5CDD505-2E9C-101B-9397-08002B2CF9AE}" pid="5" name="MSIP_Label_00f30421-7766-42c6-b167-b4a273574e25_Method">
    <vt:lpwstr>Privileged</vt:lpwstr>
  </property>
  <property fmtid="{D5CDD505-2E9C-101B-9397-08002B2CF9AE}" pid="6" name="MSIP_Label_00f30421-7766-42c6-b167-b4a273574e25_Name">
    <vt:lpwstr>UNOFFICIAL</vt:lpwstr>
  </property>
  <property fmtid="{D5CDD505-2E9C-101B-9397-08002B2CF9AE}" pid="7" name="MSIP_Label_00f30421-7766-42c6-b167-b4a273574e25_SiteId">
    <vt:lpwstr>a687a7bf-02db-43df-bcbb-e7a8bda611a2</vt:lpwstr>
  </property>
  <property fmtid="{D5CDD505-2E9C-101B-9397-08002B2CF9AE}" pid="8" name="MSIP_Label_00f30421-7766-42c6-b167-b4a273574e25_ActionId">
    <vt:lpwstr>c61add4d-8268-4531-aef2-5c6a4f9d6b59</vt:lpwstr>
  </property>
  <property fmtid="{D5CDD505-2E9C-101B-9397-08002B2CF9AE}" pid="9" name="MSIP_Label_00f30421-7766-42c6-b167-b4a273574e25_ContentBits">
    <vt:lpwstr>0</vt:lpwstr>
  </property>
  <property fmtid="{D5CDD505-2E9C-101B-9397-08002B2CF9AE}" pid="10" name="MSIP_Label_00f30421-7766-42c6-b167-b4a273574e25_Tag">
    <vt:lpwstr>10, 0, 1, 1</vt:lpwstr>
  </property>
  <property fmtid="{D5CDD505-2E9C-101B-9397-08002B2CF9AE}" pid="11" name="MediaServiceImageTags">
    <vt:lpwstr/>
  </property>
</Properties>
</file>