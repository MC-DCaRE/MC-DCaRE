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whealth-my.sharepoint.com/personal/jeffrey_barber_health_nsw_gov_au/Documents/PCXMC CBCT Dose/"/>
    </mc:Choice>
  </mc:AlternateContent>
  <xr:revisionPtr revIDLastSave="27" documentId="8_{A883C8A6-B44F-45C7-B4B6-611070375E5A}" xr6:coauthVersionLast="47" xr6:coauthVersionMax="47" xr10:uidLastSave="{7852F980-F424-454B-9A49-C974C871F57B}"/>
  <bookViews>
    <workbookView xWindow="-108" yWindow="-108" windowWidth="23256" windowHeight="13896" xr2:uid="{6D220162-C07A-428A-92DE-CE6B089E9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" l="1"/>
  <c r="X12" i="1"/>
  <c r="V12" i="1"/>
  <c r="W15" i="1"/>
  <c r="X15" i="1"/>
  <c r="V15" i="1"/>
  <c r="F15" i="1"/>
  <c r="F11" i="1"/>
  <c r="H15" i="1"/>
  <c r="I15" i="1"/>
  <c r="J15" i="1"/>
  <c r="K15" i="1"/>
  <c r="L15" i="1"/>
  <c r="M15" i="1"/>
  <c r="G15" i="1"/>
  <c r="H11" i="1"/>
  <c r="I11" i="1"/>
  <c r="J11" i="1"/>
  <c r="K11" i="1"/>
  <c r="L11" i="1"/>
  <c r="M11" i="1"/>
  <c r="N11" i="1"/>
  <c r="O11" i="1"/>
  <c r="P11" i="1"/>
  <c r="Q11" i="1"/>
  <c r="R11" i="1"/>
  <c r="S11" i="1"/>
  <c r="G11" i="1"/>
</calcChain>
</file>

<file path=xl/sharedStrings.xml><?xml version="1.0" encoding="utf-8"?>
<sst xmlns="http://schemas.openxmlformats.org/spreadsheetml/2006/main" count="101" uniqueCount="50">
  <si>
    <t>Spotlgiht pelvis</t>
  </si>
  <si>
    <t>Exposure (mAs)</t>
  </si>
  <si>
    <t>4D spotlight</t>
  </si>
  <si>
    <t>Thorax</t>
  </si>
  <si>
    <t>4D thorax</t>
  </si>
  <si>
    <t>Yes</t>
  </si>
  <si>
    <t>Standard</t>
  </si>
  <si>
    <t>320mm</t>
  </si>
  <si>
    <t>Half</t>
  </si>
  <si>
    <t>Auto</t>
  </si>
  <si>
    <t>No</t>
  </si>
  <si>
    <t>4D</t>
  </si>
  <si>
    <t>Full (SFOV)</t>
  </si>
  <si>
    <t>Full</t>
  </si>
  <si>
    <t>Half (LFOV)</t>
  </si>
  <si>
    <t>Spotlight</t>
  </si>
  <si>
    <t>Default</t>
  </si>
  <si>
    <t>Smooth</t>
  </si>
  <si>
    <t>Medium</t>
  </si>
  <si>
    <t>Mode Name</t>
  </si>
  <si>
    <t>Std/Custom</t>
  </si>
  <si>
    <t>Clinical?</t>
  </si>
  <si>
    <t>kV</t>
  </si>
  <si>
    <t>mA/frame</t>
  </si>
  <si>
    <t>ms/frame</t>
  </si>
  <si>
    <t>frames/s</t>
  </si>
  <si>
    <t>Gantry speed</t>
  </si>
  <si>
    <t>Dose Factor</t>
  </si>
  <si>
    <t xml:space="preserve">CTDI Phantom </t>
  </si>
  <si>
    <t>No Projections</t>
  </si>
  <si>
    <t>Proj Increment</t>
  </si>
  <si>
    <t>Acqusition time</t>
  </si>
  <si>
    <t>Exposure</t>
  </si>
  <si>
    <t>CTDI</t>
  </si>
  <si>
    <t>Trajectory</t>
  </si>
  <si>
    <t>Start angle</t>
  </si>
  <si>
    <t>Prescan darkfield</t>
  </si>
  <si>
    <t>Algo</t>
  </si>
  <si>
    <t>Filter</t>
  </si>
  <si>
    <t>Matrix size</t>
  </si>
  <si>
    <t>Slice thick</t>
  </si>
  <si>
    <t>Ring Suppresion</t>
  </si>
  <si>
    <t>Fan</t>
  </si>
  <si>
    <t>Column1</t>
  </si>
  <si>
    <t>Notes</t>
  </si>
  <si>
    <t>scale factor</t>
  </si>
  <si>
    <t>mSv</t>
  </si>
  <si>
    <t>kerma</t>
  </si>
  <si>
    <t>mSv scaled</t>
  </si>
  <si>
    <t>thorax spotlight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</si>
</sst>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90B2-BABC-43C8-9258-EB571CD37A44}">
  <dimension ref="A7:AE23"/>
  <sheetViews>
    <sheetView tabSelected="1" topLeftCell="C1" workbookViewId="0">
      <selection activeCell="X12" sqref="X12"/>
    </sheetView>
  </sheetViews>
  <sheetFormatPr defaultRowHeight="14.4" x14ac:dyDescent="0.3"/>
  <sheetData>
    <row r="7" spans="2:24" x14ac:dyDescent="0.3">
      <c r="F7" t="s">
        <v>45</v>
      </c>
    </row>
    <row r="9" spans="2:24" x14ac:dyDescent="0.3">
      <c r="E9" t="s">
        <v>1</v>
      </c>
    </row>
    <row r="10" spans="2:24" x14ac:dyDescent="0.3">
      <c r="B10" t="s">
        <v>0</v>
      </c>
      <c r="E10" s="1">
        <v>750</v>
      </c>
      <c r="G10">
        <v>2.6069999999999999E-3</v>
      </c>
      <c r="H10">
        <v>3.1930000000000001E-3</v>
      </c>
      <c r="I10">
        <v>7.1060000000000003E-3</v>
      </c>
      <c r="J10">
        <v>2.2941E-2</v>
      </c>
      <c r="K10">
        <v>4.9918999999999998E-2</v>
      </c>
      <c r="L10">
        <v>7.6694999999999999E-2</v>
      </c>
      <c r="M10">
        <v>9.06E-2</v>
      </c>
      <c r="N10">
        <v>8.4161E-2</v>
      </c>
      <c r="O10">
        <v>6.1244E-2</v>
      </c>
      <c r="P10">
        <v>3.3271000000000002E-2</v>
      </c>
      <c r="Q10">
        <v>1.2279999999999999E-2</v>
      </c>
      <c r="R10">
        <v>3.79E-3</v>
      </c>
      <c r="S10">
        <v>2.6700000000000001E-3</v>
      </c>
      <c r="U10" t="s">
        <v>46</v>
      </c>
      <c r="V10">
        <v>3.78</v>
      </c>
      <c r="W10">
        <v>2.17</v>
      </c>
      <c r="X10">
        <v>1.28</v>
      </c>
    </row>
    <row r="11" spans="2:24" x14ac:dyDescent="0.3">
      <c r="B11" t="s">
        <v>2</v>
      </c>
      <c r="E11" s="1">
        <v>371.6</v>
      </c>
      <c r="F11">
        <f>E11/E10</f>
        <v>0.49546666666666672</v>
      </c>
      <c r="G11">
        <f>G10*($E$11/$E$10)</f>
        <v>1.2916816E-3</v>
      </c>
      <c r="H11">
        <f t="shared" ref="H11:S11" si="0">H10*($E$11/$E$10)</f>
        <v>1.5820250666666669E-3</v>
      </c>
      <c r="I11">
        <f t="shared" si="0"/>
        <v>3.5207861333333341E-3</v>
      </c>
      <c r="J11">
        <f t="shared" si="0"/>
        <v>1.1366500800000002E-2</v>
      </c>
      <c r="K11">
        <f t="shared" si="0"/>
        <v>2.4733200533333336E-2</v>
      </c>
      <c r="L11">
        <f t="shared" si="0"/>
        <v>3.7999816000000006E-2</v>
      </c>
      <c r="M11">
        <f t="shared" si="0"/>
        <v>4.4889280000000004E-2</v>
      </c>
      <c r="N11">
        <f t="shared" si="0"/>
        <v>4.1698970133333339E-2</v>
      </c>
      <c r="O11">
        <f t="shared" si="0"/>
        <v>3.0344360533333337E-2</v>
      </c>
      <c r="P11">
        <f t="shared" si="0"/>
        <v>1.648467146666667E-2</v>
      </c>
      <c r="Q11">
        <f t="shared" si="0"/>
        <v>6.084330666666667E-3</v>
      </c>
      <c r="R11">
        <f t="shared" si="0"/>
        <v>1.8778186666666668E-3</v>
      </c>
      <c r="S11">
        <f t="shared" si="0"/>
        <v>1.3228960000000003E-3</v>
      </c>
      <c r="U11" t="s">
        <v>46</v>
      </c>
      <c r="V11" s="3">
        <v>2.39</v>
      </c>
      <c r="W11" s="3">
        <v>1.63</v>
      </c>
      <c r="X11" s="3">
        <v>1.06</v>
      </c>
    </row>
    <row r="12" spans="2:24" x14ac:dyDescent="0.3">
      <c r="B12" t="s">
        <v>49</v>
      </c>
      <c r="E12">
        <v>150</v>
      </c>
      <c r="U12" t="s">
        <v>48</v>
      </c>
      <c r="V12" s="3">
        <f>V11*$E$12/$E$11</f>
        <v>0.96474703982777177</v>
      </c>
      <c r="W12" s="3">
        <f t="shared" ref="W12:X12" si="1">W11*$E$12/$E$11</f>
        <v>0.65796555435952631</v>
      </c>
      <c r="X12" s="3">
        <f t="shared" si="1"/>
        <v>0.42787944025834229</v>
      </c>
    </row>
    <row r="13" spans="2:24" x14ac:dyDescent="0.3">
      <c r="G13" t="s">
        <v>47</v>
      </c>
    </row>
    <row r="14" spans="2:24" x14ac:dyDescent="0.3">
      <c r="B14" t="s">
        <v>3</v>
      </c>
      <c r="E14" s="1">
        <v>270</v>
      </c>
      <c r="G14">
        <v>1.7500000000000002E-2</v>
      </c>
      <c r="H14">
        <v>1.7000000000000001E-2</v>
      </c>
      <c r="I14">
        <v>1.37E-2</v>
      </c>
      <c r="J14">
        <v>6.1999999999999998E-3</v>
      </c>
      <c r="K14">
        <v>1.2999999999999999E-3</v>
      </c>
      <c r="L14">
        <v>1.2999999999999999E-3</v>
      </c>
      <c r="M14">
        <v>1.2999999999999999E-3</v>
      </c>
      <c r="U14" t="s">
        <v>46</v>
      </c>
      <c r="V14">
        <v>1.87</v>
      </c>
      <c r="W14">
        <v>1.31</v>
      </c>
      <c r="X14">
        <v>0.87</v>
      </c>
    </row>
    <row r="15" spans="2:24" x14ac:dyDescent="0.3">
      <c r="B15" t="s">
        <v>4</v>
      </c>
      <c r="E15" s="1">
        <v>672</v>
      </c>
      <c r="F15">
        <f>E15/E14</f>
        <v>2.4888888888888889</v>
      </c>
      <c r="G15">
        <f>G14*($E$15/$E$14)</f>
        <v>4.3555555555555563E-2</v>
      </c>
      <c r="H15">
        <f t="shared" ref="H15:M15" si="2">H14*($E$15/$E$14)</f>
        <v>4.2311111111111112E-2</v>
      </c>
      <c r="I15">
        <f t="shared" si="2"/>
        <v>3.4097777777777782E-2</v>
      </c>
      <c r="J15">
        <f t="shared" si="2"/>
        <v>1.5431111111111111E-2</v>
      </c>
      <c r="K15">
        <f t="shared" si="2"/>
        <v>3.2355555555555553E-3</v>
      </c>
      <c r="L15">
        <f t="shared" si="2"/>
        <v>3.2355555555555553E-3</v>
      </c>
      <c r="M15">
        <f t="shared" si="2"/>
        <v>3.2355555555555553E-3</v>
      </c>
      <c r="U15" t="s">
        <v>48</v>
      </c>
      <c r="V15" s="3">
        <f>V14*$F15</f>
        <v>4.6542222222222227</v>
      </c>
      <c r="W15" s="3">
        <f>W14*$F15</f>
        <v>3.2604444444444445</v>
      </c>
      <c r="X15" s="3">
        <f>X14*$F15</f>
        <v>2.1653333333333333</v>
      </c>
    </row>
    <row r="18" spans="1:31" x14ac:dyDescent="0.3"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 t="s">
        <v>33</v>
      </c>
      <c r="U18" t="s">
        <v>34</v>
      </c>
      <c r="V18" t="s">
        <v>35</v>
      </c>
      <c r="W18" t="s">
        <v>36</v>
      </c>
      <c r="X18" t="s">
        <v>37</v>
      </c>
      <c r="Y18" t="s">
        <v>38</v>
      </c>
      <c r="Z18" t="s">
        <v>39</v>
      </c>
      <c r="AA18" t="s">
        <v>40</v>
      </c>
      <c r="AB18" t="s">
        <v>41</v>
      </c>
      <c r="AC18" t="s">
        <v>42</v>
      </c>
      <c r="AD18" t="s">
        <v>43</v>
      </c>
      <c r="AE18" t="s">
        <v>44</v>
      </c>
    </row>
    <row r="19" spans="1:31" x14ac:dyDescent="0.3">
      <c r="A19" s="1" t="s">
        <v>5</v>
      </c>
      <c r="B19" s="1" t="s">
        <v>5</v>
      </c>
      <c r="C19" s="1" t="s">
        <v>5</v>
      </c>
      <c r="D19" s="1" t="s">
        <v>5</v>
      </c>
      <c r="E19" s="1" t="s">
        <v>5</v>
      </c>
      <c r="F19" s="2" t="s">
        <v>15</v>
      </c>
      <c r="G19" s="1" t="s">
        <v>6</v>
      </c>
      <c r="H19" s="1" t="s">
        <v>5</v>
      </c>
      <c r="I19" s="1">
        <v>125</v>
      </c>
      <c r="J19" s="1">
        <v>60</v>
      </c>
      <c r="K19" s="1">
        <v>25</v>
      </c>
      <c r="L19" s="1">
        <v>15</v>
      </c>
      <c r="M19" s="1">
        <v>6</v>
      </c>
      <c r="N19" s="1">
        <v>1.64</v>
      </c>
      <c r="O19" s="1" t="s">
        <v>7</v>
      </c>
      <c r="P19" s="1">
        <v>500</v>
      </c>
      <c r="Q19" s="1">
        <v>0.4</v>
      </c>
      <c r="R19" s="1">
        <v>33</v>
      </c>
      <c r="S19" s="1">
        <v>750</v>
      </c>
      <c r="T19" s="1">
        <v>1.23</v>
      </c>
      <c r="U19" s="1" t="s">
        <v>8</v>
      </c>
      <c r="V19" s="1" t="s">
        <v>9</v>
      </c>
      <c r="W19" s="1" t="s">
        <v>10</v>
      </c>
      <c r="X19" s="1" t="s">
        <v>16</v>
      </c>
      <c r="Y19" s="1" t="s">
        <v>17</v>
      </c>
      <c r="Z19" s="1">
        <v>512</v>
      </c>
      <c r="AA19" s="1">
        <v>2</v>
      </c>
      <c r="AB19" s="1" t="s">
        <v>18</v>
      </c>
      <c r="AC19" s="1" t="s">
        <v>12</v>
      </c>
      <c r="AD19" s="1"/>
      <c r="AE19" s="1"/>
    </row>
    <row r="20" spans="1:31" x14ac:dyDescent="0.3">
      <c r="A20" s="1" t="s">
        <v>5</v>
      </c>
      <c r="B20" s="1" t="s">
        <v>5</v>
      </c>
      <c r="C20" s="1" t="s">
        <v>5</v>
      </c>
      <c r="D20" s="1" t="s">
        <v>5</v>
      </c>
      <c r="E20" s="1" t="s">
        <v>5</v>
      </c>
      <c r="F20" s="2" t="s">
        <v>2</v>
      </c>
      <c r="G20" s="1" t="s">
        <v>6</v>
      </c>
      <c r="H20" s="1" t="s">
        <v>5</v>
      </c>
      <c r="I20" s="1">
        <v>125</v>
      </c>
      <c r="J20" s="1">
        <v>40</v>
      </c>
      <c r="K20" s="1">
        <v>20</v>
      </c>
      <c r="L20" s="1">
        <v>7</v>
      </c>
      <c r="M20" s="1">
        <v>3</v>
      </c>
      <c r="N20" s="1">
        <v>1.64</v>
      </c>
      <c r="O20" s="1" t="s">
        <v>7</v>
      </c>
      <c r="P20" s="1">
        <v>467</v>
      </c>
      <c r="Q20" s="1">
        <v>0.42799999999999999</v>
      </c>
      <c r="R20" s="1">
        <v>67</v>
      </c>
      <c r="S20" s="1">
        <v>371.6</v>
      </c>
      <c r="T20" s="1">
        <v>0.61</v>
      </c>
      <c r="U20" s="1" t="s">
        <v>8</v>
      </c>
      <c r="V20" s="1" t="s">
        <v>9</v>
      </c>
      <c r="W20" s="1" t="s">
        <v>10</v>
      </c>
      <c r="X20" s="1" t="s">
        <v>11</v>
      </c>
      <c r="Y20" s="1" t="s">
        <v>9</v>
      </c>
      <c r="Z20" s="1">
        <v>384</v>
      </c>
      <c r="AA20" s="1">
        <v>1.5</v>
      </c>
      <c r="AB20" s="1" t="s">
        <v>10</v>
      </c>
      <c r="AC20" s="1" t="s">
        <v>12</v>
      </c>
      <c r="AD20" s="1"/>
      <c r="AE20" s="1"/>
    </row>
    <row r="21" spans="1:31" x14ac:dyDescent="0.3">
      <c r="A21" s="1"/>
      <c r="B21" s="1"/>
      <c r="C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3">
      <c r="A22" s="1" t="s">
        <v>5</v>
      </c>
      <c r="B22" s="1" t="s">
        <v>5</v>
      </c>
      <c r="C22" s="1" t="s">
        <v>5</v>
      </c>
      <c r="D22" s="1" t="s">
        <v>5</v>
      </c>
      <c r="E22" s="1" t="s">
        <v>5</v>
      </c>
      <c r="F22" s="2" t="s">
        <v>3</v>
      </c>
      <c r="G22" s="1" t="s">
        <v>6</v>
      </c>
      <c r="H22" s="1" t="s">
        <v>5</v>
      </c>
      <c r="I22" s="1">
        <v>125</v>
      </c>
      <c r="J22" s="1">
        <v>15</v>
      </c>
      <c r="K22" s="1">
        <v>20</v>
      </c>
      <c r="L22" s="1">
        <v>15</v>
      </c>
      <c r="M22" s="1">
        <v>6</v>
      </c>
      <c r="N22" s="1">
        <v>1.48</v>
      </c>
      <c r="O22" s="1" t="s">
        <v>7</v>
      </c>
      <c r="P22" s="1">
        <v>900</v>
      </c>
      <c r="Q22" s="1">
        <v>0.4</v>
      </c>
      <c r="R22" s="1">
        <v>60</v>
      </c>
      <c r="S22" s="1">
        <v>270</v>
      </c>
      <c r="T22" s="1">
        <v>0.4</v>
      </c>
      <c r="U22" s="1" t="s">
        <v>13</v>
      </c>
      <c r="V22" s="1"/>
      <c r="W22" s="1" t="s">
        <v>10</v>
      </c>
      <c r="X22" s="1" t="s">
        <v>16</v>
      </c>
      <c r="Y22" s="1" t="s">
        <v>17</v>
      </c>
      <c r="Z22" s="1">
        <v>512</v>
      </c>
      <c r="AA22" s="1">
        <v>2</v>
      </c>
      <c r="AB22" s="1" t="s">
        <v>18</v>
      </c>
      <c r="AC22" s="1" t="s">
        <v>14</v>
      </c>
      <c r="AD22" s="1"/>
      <c r="AE22" s="1"/>
    </row>
    <row r="23" spans="1:31" x14ac:dyDescent="0.3">
      <c r="A23" s="1" t="s">
        <v>5</v>
      </c>
      <c r="B23" s="1" t="s">
        <v>5</v>
      </c>
      <c r="C23" s="1" t="s">
        <v>5</v>
      </c>
      <c r="D23" s="1" t="s">
        <v>5</v>
      </c>
      <c r="E23" s="1" t="s">
        <v>5</v>
      </c>
      <c r="F23" s="2" t="s">
        <v>4</v>
      </c>
      <c r="G23" s="1" t="s">
        <v>6</v>
      </c>
      <c r="H23" s="1" t="s">
        <v>5</v>
      </c>
      <c r="I23" s="1">
        <v>125</v>
      </c>
      <c r="J23" s="1">
        <v>40</v>
      </c>
      <c r="K23" s="1">
        <v>20</v>
      </c>
      <c r="L23" s="1">
        <v>7</v>
      </c>
      <c r="M23" s="1">
        <v>3</v>
      </c>
      <c r="N23" s="1">
        <v>1.48</v>
      </c>
      <c r="O23" s="1" t="s">
        <v>7</v>
      </c>
      <c r="P23" s="1">
        <v>840</v>
      </c>
      <c r="Q23" s="1">
        <v>0.42899999999999999</v>
      </c>
      <c r="R23" s="1">
        <v>120</v>
      </c>
      <c r="S23" s="1">
        <v>672</v>
      </c>
      <c r="T23" s="1">
        <v>1</v>
      </c>
      <c r="U23" s="1" t="s">
        <v>13</v>
      </c>
      <c r="V23" s="1"/>
      <c r="W23" s="1" t="s">
        <v>10</v>
      </c>
      <c r="X23" s="1" t="s">
        <v>11</v>
      </c>
      <c r="Y23" s="1" t="s">
        <v>9</v>
      </c>
      <c r="Z23" s="1">
        <v>384</v>
      </c>
      <c r="AA23" s="1">
        <v>1.5</v>
      </c>
      <c r="AB23" s="1" t="s">
        <v>10</v>
      </c>
      <c r="AC23" s="1" t="s">
        <v>14</v>
      </c>
      <c r="AD23" s="1"/>
      <c r="AE23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4F5D345E8EBA4EB92136D8E2D175B7" ma:contentTypeVersion="18" ma:contentTypeDescription="Create a new document." ma:contentTypeScope="" ma:versionID="6b192fd6d1cb1475bfc9edc0d84fe664">
  <xsd:schema xmlns:xsd="http://www.w3.org/2001/XMLSchema" xmlns:xs="http://www.w3.org/2001/XMLSchema" xmlns:p="http://schemas.microsoft.com/office/2006/metadata/properties" xmlns:ns2="965b3675-3c16-4528-90c2-3cb7b0ab6f71" xmlns:ns3="17c1e797-f5ee-4ead-ab3a-89411af36d17" targetNamespace="http://schemas.microsoft.com/office/2006/metadata/properties" ma:root="true" ma:fieldsID="3e5f713285d112830d21619ad1fb5c97" ns2:_="" ns3:_="">
    <xsd:import namespace="965b3675-3c16-4528-90c2-3cb7b0ab6f71"/>
    <xsd:import namespace="17c1e797-f5ee-4ead-ab3a-89411af36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b3675-3c16-4528-90c2-3cb7b0ab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1e797-f5ee-4ead-ab3a-89411af36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ac0025-4040-4863-8698-52a11253ddf4}" ma:internalName="TaxCatchAll" ma:showField="CatchAllData" ma:web="17c1e797-f5ee-4ead-ab3a-89411af36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b3675-3c16-4528-90c2-3cb7b0ab6f71">
      <Terms xmlns="http://schemas.microsoft.com/office/infopath/2007/PartnerControls"/>
    </lcf76f155ced4ddcb4097134ff3c332f>
    <TaxCatchAll xmlns="17c1e797-f5ee-4ead-ab3a-89411af36d17" xsi:nil="true"/>
  </documentManagement>
</p:properties>
</file>

<file path=customXml/itemProps1.xml><?xml version="1.0" encoding="utf-8"?>
<ds:datastoreItem xmlns:ds="http://schemas.openxmlformats.org/officeDocument/2006/customXml" ds:itemID="{179F102B-D998-4376-A564-31D5DB90FD35}"/>
</file>

<file path=customXml/itemProps2.xml><?xml version="1.0" encoding="utf-8"?>
<ds:datastoreItem xmlns:ds="http://schemas.openxmlformats.org/officeDocument/2006/customXml" ds:itemID="{7F569F52-A27A-4B9B-9A17-E82F2D5682F8}"/>
</file>

<file path=customXml/itemProps3.xml><?xml version="1.0" encoding="utf-8"?>
<ds:datastoreItem xmlns:ds="http://schemas.openxmlformats.org/officeDocument/2006/customXml" ds:itemID="{1E8C604D-1A07-4F53-8150-84EBD7C09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Barber</dc:creator>
  <cp:lastModifiedBy>Jeffrey Barber</cp:lastModifiedBy>
  <dcterms:created xsi:type="dcterms:W3CDTF">2023-11-02T01:38:15Z</dcterms:created>
  <dcterms:modified xsi:type="dcterms:W3CDTF">2023-11-02T17:38:30Z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0x010100774F5D345E8EBA4EB92136D8E2D175B7</vt:lpwstr>
  </property>
</Properties>
</file>