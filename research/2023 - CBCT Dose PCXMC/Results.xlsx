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swhealth-my.sharepoint.com/personal/jeffrey_barber_health_nsw_gov_au/Documents/PCXMC CBCT Dose/"/>
    </mc:Choice>
  </mc:AlternateContent>
  <xr:revisionPtr revIDLastSave="32" documentId="13_ncr:1_{8B13E6F4-9FF8-4024-A385-98DD9DEFCEE5}" xr6:coauthVersionLast="47" xr6:coauthVersionMax="47" xr10:uidLastSave="{E2053DB0-5045-4F1B-8F42-3B33B987F330}"/>
  <bookViews>
    <workbookView xWindow="-120" yWindow="-120" windowWidth="29040" windowHeight="15840" tabRatio="710" activeTab="8" xr2:uid="{00000000-000D-0000-FFFF-FFFF00000000}"/>
  </bookViews>
  <sheets>
    <sheet name="Initial tests" sheetId="1" r:id="rId1"/>
    <sheet name="Head" sheetId="2" r:id="rId2"/>
    <sheet name="Pelvis" sheetId="3" r:id="rId3"/>
    <sheet name="Pelvis large" sheetId="7" r:id="rId4"/>
    <sheet name="Breast" sheetId="4" r:id="rId5"/>
    <sheet name="Thorax" sheetId="5" r:id="rId6"/>
    <sheet name="Image gently" sheetId="6" r:id="rId7"/>
    <sheet name="Collated data" sheetId="9" r:id="rId8"/>
    <sheet name="New tests August" sheetId="10" r:id="rId9"/>
    <sheet name="Sheet1" sheetId="11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2" l="1"/>
  <c r="X75" i="10"/>
  <c r="X74" i="10"/>
  <c r="X73" i="10"/>
  <c r="X72" i="10"/>
  <c r="X71" i="10"/>
  <c r="X70" i="10"/>
  <c r="X69" i="10"/>
  <c r="X68" i="10"/>
  <c r="X67" i="10"/>
  <c r="X66" i="10"/>
  <c r="X65" i="10"/>
  <c r="X64" i="10"/>
  <c r="X63" i="10"/>
  <c r="X62" i="10"/>
  <c r="X61" i="10"/>
  <c r="X60" i="10"/>
  <c r="X59" i="10"/>
  <c r="X58" i="10"/>
  <c r="X57" i="10"/>
  <c r="X56" i="10"/>
  <c r="X55" i="10"/>
  <c r="X54" i="10"/>
  <c r="X53" i="10"/>
  <c r="X52" i="10"/>
  <c r="X51" i="10"/>
  <c r="X50" i="10"/>
  <c r="X49" i="10"/>
  <c r="X48" i="10"/>
  <c r="X47" i="10"/>
  <c r="X46" i="10"/>
  <c r="X44" i="10"/>
  <c r="X43" i="10"/>
  <c r="X42" i="10"/>
  <c r="X41" i="10"/>
  <c r="X40" i="10"/>
  <c r="X39" i="10"/>
  <c r="X38" i="10"/>
  <c r="X37" i="10"/>
  <c r="X36" i="10"/>
  <c r="X35" i="10"/>
  <c r="X34" i="10"/>
  <c r="X33" i="10"/>
  <c r="X32" i="10"/>
  <c r="X31" i="10"/>
  <c r="X30" i="10"/>
  <c r="X29" i="10"/>
  <c r="X28" i="10"/>
  <c r="X27" i="10"/>
  <c r="X26" i="10"/>
  <c r="X25" i="10"/>
  <c r="X24" i="10"/>
  <c r="X23" i="10"/>
  <c r="X22" i="10"/>
  <c r="X21" i="10"/>
  <c r="X20" i="10"/>
  <c r="X19" i="10"/>
  <c r="X18" i="10"/>
  <c r="X17" i="10"/>
  <c r="X16" i="10"/>
  <c r="X15" i="10"/>
  <c r="X14" i="10"/>
  <c r="X13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46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13" i="10"/>
  <c r="B44" i="10"/>
  <c r="B46" i="10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A27" i="10"/>
  <c r="O82" i="10"/>
  <c r="N81" i="10"/>
  <c r="O81" i="10" s="1"/>
  <c r="M81" i="10"/>
  <c r="N82" i="10"/>
  <c r="M82" i="10"/>
  <c r="N83" i="10"/>
  <c r="O83" i="10" s="1"/>
  <c r="M8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Izabela Junis (Western Sydney LHD)</author>
  </authors>
  <commentList>
    <comment ref="D45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Izabela Junis (Western Sydney LHD):</t>
        </r>
        <r>
          <rPr>
            <sz val="9"/>
            <color indexed="81"/>
            <rFont val="Tahoma"/>
            <charset val="1"/>
          </rPr>
          <t xml:space="preserve">
44.72 on repeat.. Seemed to have reset between two halves of profile
</t>
        </r>
      </text>
    </comment>
    <comment ref="J45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Izabela Junis (Western Sydney LHD):</t>
        </r>
        <r>
          <rPr>
            <sz val="9"/>
            <color indexed="81"/>
            <rFont val="Tahoma"/>
            <charset val="1"/>
          </rPr>
          <t xml:space="preserve">
450.5 repeat meas at end of profile set</t>
        </r>
      </text>
    </comment>
  </commentList>
</comments>
</file>

<file path=xl/sharedStrings.xml><?xml version="1.0" encoding="utf-8"?>
<sst xmlns="http://schemas.openxmlformats.org/spreadsheetml/2006/main" count="562" uniqueCount="75">
  <si>
    <t>kv</t>
  </si>
  <si>
    <t>Gy</t>
  </si>
  <si>
    <t>uGy/s</t>
  </si>
  <si>
    <t>couch (cm)</t>
  </si>
  <si>
    <t>test 2</t>
  </si>
  <si>
    <t>Blade pos</t>
  </si>
  <si>
    <t>Head mode</t>
  </si>
  <si>
    <t>x1</t>
  </si>
  <si>
    <t>x2</t>
  </si>
  <si>
    <t>y1</t>
  </si>
  <si>
    <t>y2</t>
  </si>
  <si>
    <t>mA</t>
  </si>
  <si>
    <t>ms</t>
  </si>
  <si>
    <t>hVL</t>
  </si>
  <si>
    <t>8.5 mmAl</t>
  </si>
  <si>
    <t>rf low?</t>
  </si>
  <si>
    <t>Head</t>
  </si>
  <si>
    <t>kvp</t>
  </si>
  <si>
    <t>HVL</t>
  </si>
  <si>
    <t>Total filt</t>
  </si>
  <si>
    <t>mGy/s</t>
  </si>
  <si>
    <t>kV</t>
  </si>
  <si>
    <t>mGy</t>
  </si>
  <si>
    <t>frames/s</t>
  </si>
  <si>
    <t>frame/s</t>
  </si>
  <si>
    <t>mm Al</t>
  </si>
  <si>
    <t>mmAl TF</t>
  </si>
  <si>
    <t>Dose</t>
  </si>
  <si>
    <t>Dose rate</t>
  </si>
  <si>
    <t>Pelvis</t>
  </si>
  <si>
    <t>half arc</t>
  </si>
  <si>
    <t>full fan</t>
  </si>
  <si>
    <t>Thorax</t>
  </si>
  <si>
    <t>Image gently</t>
  </si>
  <si>
    <t>Pelvis large</t>
  </si>
  <si>
    <t>Fan type</t>
  </si>
  <si>
    <t>Arc type</t>
  </si>
  <si>
    <t>Full</t>
  </si>
  <si>
    <t>Half</t>
  </si>
  <si>
    <t>cm</t>
  </si>
  <si>
    <t>rf high</t>
  </si>
  <si>
    <t>Breast 360</t>
  </si>
  <si>
    <t>Breast 200</t>
  </si>
  <si>
    <t>rf low</t>
  </si>
  <si>
    <t>-</t>
  </si>
  <si>
    <t>Blades</t>
  </si>
  <si>
    <t>Mode</t>
  </si>
  <si>
    <t>RF high</t>
  </si>
  <si>
    <t>RF low</t>
  </si>
  <si>
    <t>Couch (cm)</t>
  </si>
  <si>
    <t>Dose rate uGy/s</t>
  </si>
  <si>
    <t>Total Filtration</t>
  </si>
  <si>
    <t>Couch</t>
  </si>
  <si>
    <t>coordinates</t>
  </si>
  <si>
    <t>HVL in Aarons work??</t>
  </si>
  <si>
    <t>filtration</t>
  </si>
  <si>
    <t>Check consistency of acquisitions (each measuremetn fro ma individal DynamicGain shot. In XI tab. Set appropriate  Filter Shape (HalfFan/FullFan) in Position Units tab --&gt;KVs coll--&gt;clinical axes</t>
  </si>
  <si>
    <t>couch moved in LONG</t>
  </si>
  <si>
    <t>G=90, souce at top</t>
  </si>
  <si>
    <t>detector long axis on couch long axis</t>
  </si>
  <si>
    <t>too low for rdg</t>
  </si>
  <si>
    <t>SUP</t>
  </si>
  <si>
    <t>INF</t>
  </si>
  <si>
    <t>INPLANE</t>
  </si>
  <si>
    <t>CROSSPLANE</t>
  </si>
  <si>
    <t>LONG</t>
  </si>
  <si>
    <t>LAT</t>
  </si>
  <si>
    <t>B WALL</t>
  </si>
  <si>
    <t>A WALL</t>
  </si>
  <si>
    <t>colide with gantry head can't go further</t>
  </si>
  <si>
    <t>NOTE ms=30 for these measurements as device didn't work for ms=15</t>
  </si>
  <si>
    <t>NOTE: used 20mA instead of 60 to keep readings in range</t>
  </si>
  <si>
    <t>HVL (TF not working)</t>
  </si>
  <si>
    <t>NOTE: used 20mA instead of 10 as service mode wouldn't let us do planar that low</t>
  </si>
  <si>
    <t>HVL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</si>
</sst>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left"/>
    </xf>
    <xf numFmtId="0" fontId="2" fillId="0" borderId="5" xfId="0" applyFont="1" applyBorder="1"/>
    <xf numFmtId="0" fontId="2" fillId="0" borderId="0" xfId="0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56079822083308E-2"/>
          <c:y val="0.1902314814814815"/>
          <c:w val="0.8995291619081965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Head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'Initial tests'!$F$36:$F$66</c:f>
              <c:numCache>
                <c:formatCode>General</c:formatCode>
                <c:ptCount val="31"/>
                <c:pt idx="0">
                  <c:v>0</c:v>
                </c:pt>
                <c:pt idx="1">
                  <c:v>-0.5</c:v>
                </c:pt>
                <c:pt idx="2">
                  <c:v>-1</c:v>
                </c:pt>
                <c:pt idx="3">
                  <c:v>-1.5</c:v>
                </c:pt>
                <c:pt idx="4">
                  <c:v>-2</c:v>
                </c:pt>
                <c:pt idx="5">
                  <c:v>-2.5</c:v>
                </c:pt>
                <c:pt idx="6">
                  <c:v>-3</c:v>
                </c:pt>
                <c:pt idx="7">
                  <c:v>-3.5</c:v>
                </c:pt>
                <c:pt idx="8">
                  <c:v>-4</c:v>
                </c:pt>
                <c:pt idx="9">
                  <c:v>-4.5</c:v>
                </c:pt>
                <c:pt idx="10">
                  <c:v>-5</c:v>
                </c:pt>
                <c:pt idx="11">
                  <c:v>-5.5</c:v>
                </c:pt>
                <c:pt idx="12">
                  <c:v>-6</c:v>
                </c:pt>
                <c:pt idx="13">
                  <c:v>-6.5</c:v>
                </c:pt>
                <c:pt idx="14">
                  <c:v>-7</c:v>
                </c:pt>
                <c:pt idx="15">
                  <c:v>-7.5</c:v>
                </c:pt>
                <c:pt idx="16">
                  <c:v>-8</c:v>
                </c:pt>
                <c:pt idx="17">
                  <c:v>-8.5</c:v>
                </c:pt>
                <c:pt idx="18">
                  <c:v>-9</c:v>
                </c:pt>
                <c:pt idx="19">
                  <c:v>-9.5</c:v>
                </c:pt>
                <c:pt idx="20">
                  <c:v>-10</c:v>
                </c:pt>
                <c:pt idx="21">
                  <c:v>-10.5</c:v>
                </c:pt>
                <c:pt idx="22">
                  <c:v>-11</c:v>
                </c:pt>
                <c:pt idx="23">
                  <c:v>-11.5</c:v>
                </c:pt>
                <c:pt idx="24">
                  <c:v>-12</c:v>
                </c:pt>
                <c:pt idx="25">
                  <c:v>-12.5</c:v>
                </c:pt>
                <c:pt idx="26">
                  <c:v>-13</c:v>
                </c:pt>
                <c:pt idx="27">
                  <c:v>-13.5</c:v>
                </c:pt>
                <c:pt idx="28">
                  <c:v>-14</c:v>
                </c:pt>
                <c:pt idx="29">
                  <c:v>-14.5</c:v>
                </c:pt>
                <c:pt idx="30">
                  <c:v>-15</c:v>
                </c:pt>
              </c:numCache>
            </c:numRef>
          </c:xVal>
          <c:yVal>
            <c:numRef>
              <c:f>('Initial tests'!$H$36:$H$47,'Initial tests'!$J$48:$J$63)</c:f>
              <c:numCache>
                <c:formatCode>General</c:formatCode>
                <c:ptCount val="28"/>
                <c:pt idx="0">
                  <c:v>167</c:v>
                </c:pt>
                <c:pt idx="1">
                  <c:v>165</c:v>
                </c:pt>
                <c:pt idx="2">
                  <c:v>164</c:v>
                </c:pt>
                <c:pt idx="3">
                  <c:v>162</c:v>
                </c:pt>
                <c:pt idx="4">
                  <c:v>156</c:v>
                </c:pt>
                <c:pt idx="5">
                  <c:v>151</c:v>
                </c:pt>
                <c:pt idx="6">
                  <c:v>145</c:v>
                </c:pt>
                <c:pt idx="7">
                  <c:v>136</c:v>
                </c:pt>
                <c:pt idx="8">
                  <c:v>133</c:v>
                </c:pt>
                <c:pt idx="9">
                  <c:v>111</c:v>
                </c:pt>
                <c:pt idx="10">
                  <c:v>105</c:v>
                </c:pt>
                <c:pt idx="11">
                  <c:v>94</c:v>
                </c:pt>
                <c:pt idx="12">
                  <c:v>72.8</c:v>
                </c:pt>
                <c:pt idx="13">
                  <c:v>60.4</c:v>
                </c:pt>
                <c:pt idx="14">
                  <c:v>46.6</c:v>
                </c:pt>
                <c:pt idx="15">
                  <c:v>33</c:v>
                </c:pt>
                <c:pt idx="16">
                  <c:v>28.5</c:v>
                </c:pt>
                <c:pt idx="17">
                  <c:v>26</c:v>
                </c:pt>
                <c:pt idx="18">
                  <c:v>24.5</c:v>
                </c:pt>
                <c:pt idx="19">
                  <c:v>24.5</c:v>
                </c:pt>
                <c:pt idx="20">
                  <c:v>23.5</c:v>
                </c:pt>
                <c:pt idx="21">
                  <c:v>22</c:v>
                </c:pt>
                <c:pt idx="22">
                  <c:v>21.7</c:v>
                </c:pt>
                <c:pt idx="23">
                  <c:v>21.4</c:v>
                </c:pt>
                <c:pt idx="24">
                  <c:v>21</c:v>
                </c:pt>
                <c:pt idx="25">
                  <c:v>20.7</c:v>
                </c:pt>
                <c:pt idx="26">
                  <c:v>17.899999999999999</c:v>
                </c:pt>
                <c:pt idx="27">
                  <c:v>17.899999999999999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6C-4B65-863E-01FDE4648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58040"/>
        <c:axId val="130058824"/>
      </c:scatterChart>
      <c:valAx>
        <c:axId val="13005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Distance</a:t>
                </a:r>
                <a:r>
                  <a:rPr lang="en-AU" baseline="0"/>
                  <a:t> (cm)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8824"/>
        <c:crosses val="autoZero"/>
        <c:crossBetween val="midCat"/>
      </c:valAx>
      <c:valAx>
        <c:axId val="13005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Dose</a:t>
                </a:r>
                <a:r>
                  <a:rPr lang="en-AU" baseline="0"/>
                  <a:t> Rate (uGy/s)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94656488549618323"/>
              <c:y val="0.33192512394284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8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August'!$I$19:$I$75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7">
                  <c:v>8.75</c:v>
                </c:pt>
                <c:pt idx="8">
                  <c:v>8.5</c:v>
                </c:pt>
                <c:pt idx="9">
                  <c:v>8.25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August'!$J$19:$J$75</c:f>
              <c:numCache>
                <c:formatCode>General</c:formatCode>
                <c:ptCount val="57"/>
                <c:pt idx="2">
                  <c:v>0</c:v>
                </c:pt>
                <c:pt idx="4">
                  <c:v>67.61</c:v>
                </c:pt>
                <c:pt idx="6">
                  <c:v>79.31</c:v>
                </c:pt>
                <c:pt idx="8">
                  <c:v>93.62</c:v>
                </c:pt>
                <c:pt idx="10">
                  <c:v>124</c:v>
                </c:pt>
                <c:pt idx="12">
                  <c:v>200.7</c:v>
                </c:pt>
                <c:pt idx="14">
                  <c:v>256.60000000000002</c:v>
                </c:pt>
                <c:pt idx="16">
                  <c:v>312.7</c:v>
                </c:pt>
                <c:pt idx="18">
                  <c:v>362</c:v>
                </c:pt>
                <c:pt idx="20">
                  <c:v>399.2</c:v>
                </c:pt>
                <c:pt idx="22">
                  <c:v>430</c:v>
                </c:pt>
                <c:pt idx="24">
                  <c:v>443.3</c:v>
                </c:pt>
                <c:pt idx="26">
                  <c:v>447.2</c:v>
                </c:pt>
                <c:pt idx="28">
                  <c:v>434.4</c:v>
                </c:pt>
                <c:pt idx="32">
                  <c:v>379</c:v>
                </c:pt>
                <c:pt idx="36">
                  <c:v>273</c:v>
                </c:pt>
                <c:pt idx="40">
                  <c:v>153.1</c:v>
                </c:pt>
                <c:pt idx="42">
                  <c:v>86.19</c:v>
                </c:pt>
                <c:pt idx="44">
                  <c:v>70.22</c:v>
                </c:pt>
                <c:pt idx="46">
                  <c:v>64.099999999999994</c:v>
                </c:pt>
                <c:pt idx="48">
                  <c:v>60.83</c:v>
                </c:pt>
                <c:pt idx="50">
                  <c:v>58.72</c:v>
                </c:pt>
                <c:pt idx="52">
                  <c:v>54.67</c:v>
                </c:pt>
                <c:pt idx="54">
                  <c:v>13.51</c:v>
                </c:pt>
                <c:pt idx="56">
                  <c:v>6.3449999999999998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6-45D6-AB5F-C08E3412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9752"/>
        <c:axId val="317177792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'New tests August'!$C$19:$C$75</c:f>
              <c:numCache>
                <c:formatCode>General</c:formatCode>
                <c:ptCount val="57"/>
                <c:pt idx="0">
                  <c:v>12</c:v>
                </c:pt>
                <c:pt idx="1">
                  <c:v>11.5</c:v>
                </c:pt>
                <c:pt idx="2">
                  <c:v>11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9</c:v>
                </c:pt>
                <c:pt idx="7">
                  <c:v>8.75</c:v>
                </c:pt>
                <c:pt idx="8">
                  <c:v>8.5</c:v>
                </c:pt>
                <c:pt idx="9">
                  <c:v>8.25</c:v>
                </c:pt>
                <c:pt idx="10">
                  <c:v>8</c:v>
                </c:pt>
                <c:pt idx="11">
                  <c:v>7.5</c:v>
                </c:pt>
                <c:pt idx="12">
                  <c:v>7</c:v>
                </c:pt>
                <c:pt idx="13">
                  <c:v>6.5</c:v>
                </c:pt>
                <c:pt idx="14">
                  <c:v>6</c:v>
                </c:pt>
                <c:pt idx="15">
                  <c:v>5.5</c:v>
                </c:pt>
                <c:pt idx="16">
                  <c:v>5</c:v>
                </c:pt>
                <c:pt idx="17">
                  <c:v>4.5</c:v>
                </c:pt>
                <c:pt idx="18">
                  <c:v>4</c:v>
                </c:pt>
                <c:pt idx="19">
                  <c:v>3.5</c:v>
                </c:pt>
                <c:pt idx="20">
                  <c:v>3</c:v>
                </c:pt>
                <c:pt idx="21">
                  <c:v>2.5</c:v>
                </c:pt>
                <c:pt idx="22">
                  <c:v>2</c:v>
                </c:pt>
                <c:pt idx="23">
                  <c:v>1.5</c:v>
                </c:pt>
                <c:pt idx="24">
                  <c:v>1</c:v>
                </c:pt>
                <c:pt idx="25">
                  <c:v>0.5</c:v>
                </c:pt>
                <c:pt idx="26">
                  <c:v>0</c:v>
                </c:pt>
                <c:pt idx="27">
                  <c:v>-0.5</c:v>
                </c:pt>
                <c:pt idx="28">
                  <c:v>-1</c:v>
                </c:pt>
                <c:pt idx="29">
                  <c:v>-1.5</c:v>
                </c:pt>
                <c:pt idx="30">
                  <c:v>-2</c:v>
                </c:pt>
                <c:pt idx="31">
                  <c:v>-2.5</c:v>
                </c:pt>
                <c:pt idx="32">
                  <c:v>-3</c:v>
                </c:pt>
                <c:pt idx="33">
                  <c:v>-3.5</c:v>
                </c:pt>
                <c:pt idx="34">
                  <c:v>-4</c:v>
                </c:pt>
                <c:pt idx="35">
                  <c:v>-4.5</c:v>
                </c:pt>
                <c:pt idx="36">
                  <c:v>-5</c:v>
                </c:pt>
                <c:pt idx="37">
                  <c:v>-5.5</c:v>
                </c:pt>
                <c:pt idx="38">
                  <c:v>-6</c:v>
                </c:pt>
                <c:pt idx="39">
                  <c:v>-6.5</c:v>
                </c:pt>
                <c:pt idx="40">
                  <c:v>-7</c:v>
                </c:pt>
                <c:pt idx="41">
                  <c:v>-7.5</c:v>
                </c:pt>
                <c:pt idx="42">
                  <c:v>-8</c:v>
                </c:pt>
                <c:pt idx="43">
                  <c:v>-8.5</c:v>
                </c:pt>
                <c:pt idx="44">
                  <c:v>-9</c:v>
                </c:pt>
                <c:pt idx="45">
                  <c:v>-9.5</c:v>
                </c:pt>
                <c:pt idx="46">
                  <c:v>-10</c:v>
                </c:pt>
                <c:pt idx="47">
                  <c:v>-10.5</c:v>
                </c:pt>
                <c:pt idx="48">
                  <c:v>-11</c:v>
                </c:pt>
                <c:pt idx="49">
                  <c:v>-11.5</c:v>
                </c:pt>
                <c:pt idx="50">
                  <c:v>-12</c:v>
                </c:pt>
                <c:pt idx="51">
                  <c:v>-12.5</c:v>
                </c:pt>
                <c:pt idx="52">
                  <c:v>-13</c:v>
                </c:pt>
                <c:pt idx="53">
                  <c:v>-13.5</c:v>
                </c:pt>
                <c:pt idx="54">
                  <c:v>-14</c:v>
                </c:pt>
                <c:pt idx="55">
                  <c:v>-14.5</c:v>
                </c:pt>
                <c:pt idx="56">
                  <c:v>-15</c:v>
                </c:pt>
              </c:numCache>
            </c:numRef>
          </c:xVal>
          <c:yVal>
            <c:numRef>
              <c:f>'New tests August'!$K$19:$K$75</c:f>
              <c:numCache>
                <c:formatCode>General</c:formatCode>
                <c:ptCount val="57"/>
                <c:pt idx="4">
                  <c:v>30.54</c:v>
                </c:pt>
                <c:pt idx="6">
                  <c:v>22.48</c:v>
                </c:pt>
                <c:pt idx="8">
                  <c:v>19.600000000000001</c:v>
                </c:pt>
                <c:pt idx="10">
                  <c:v>25.85</c:v>
                </c:pt>
                <c:pt idx="12">
                  <c:v>16.11</c:v>
                </c:pt>
                <c:pt idx="14">
                  <c:v>16.75</c:v>
                </c:pt>
                <c:pt idx="16">
                  <c:v>14.16</c:v>
                </c:pt>
                <c:pt idx="18">
                  <c:v>13.04</c:v>
                </c:pt>
                <c:pt idx="20">
                  <c:v>11.71</c:v>
                </c:pt>
                <c:pt idx="22">
                  <c:v>11.61</c:v>
                </c:pt>
                <c:pt idx="24">
                  <c:v>10.77</c:v>
                </c:pt>
                <c:pt idx="26">
                  <c:v>11.57</c:v>
                </c:pt>
                <c:pt idx="28">
                  <c:v>11.18</c:v>
                </c:pt>
                <c:pt idx="32">
                  <c:v>11.85</c:v>
                </c:pt>
                <c:pt idx="36">
                  <c:v>18.64</c:v>
                </c:pt>
                <c:pt idx="40">
                  <c:v>19.55</c:v>
                </c:pt>
                <c:pt idx="42">
                  <c:v>19.489999999999998</c:v>
                </c:pt>
                <c:pt idx="44">
                  <c:v>23.17</c:v>
                </c:pt>
                <c:pt idx="46">
                  <c:v>24.14</c:v>
                </c:pt>
                <c:pt idx="48">
                  <c:v>25.42</c:v>
                </c:pt>
                <c:pt idx="50">
                  <c:v>26.5</c:v>
                </c:pt>
                <c:pt idx="52">
                  <c:v>21.51</c:v>
                </c:pt>
                <c:pt idx="54">
                  <c:v>14.92</c:v>
                </c:pt>
                <c:pt idx="56">
                  <c:v>8.7759999999999998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6-45D6-AB5F-C08E3412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179360"/>
        <c:axId val="317180928"/>
      </c:scatterChart>
      <c:valAx>
        <c:axId val="31717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7792"/>
        <c:crosses val="autoZero"/>
        <c:crossBetween val="midCat"/>
      </c:valAx>
      <c:valAx>
        <c:axId val="31717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9752"/>
        <c:crosses val="autoZero"/>
        <c:crossBetween val="midCat"/>
      </c:valAx>
      <c:valAx>
        <c:axId val="317180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9360"/>
        <c:crosses val="max"/>
        <c:crossBetween val="midCat"/>
      </c:valAx>
      <c:valAx>
        <c:axId val="317179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18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'New tests August'!$U$19:$U$75</c:f>
              <c:numCache>
                <c:formatCode>General</c:formatCode>
                <c:ptCount val="57"/>
                <c:pt idx="3">
                  <c:v>10.78</c:v>
                </c:pt>
                <c:pt idx="4">
                  <c:v>10.67</c:v>
                </c:pt>
                <c:pt idx="6">
                  <c:v>10.680999999999999</c:v>
                </c:pt>
                <c:pt idx="10">
                  <c:v>10.101000000000001</c:v>
                </c:pt>
                <c:pt idx="12">
                  <c:v>9.641</c:v>
                </c:pt>
                <c:pt idx="14">
                  <c:v>9.1460000000000008</c:v>
                </c:pt>
                <c:pt idx="18">
                  <c:v>8.4339999999999993</c:v>
                </c:pt>
                <c:pt idx="22">
                  <c:v>8.0489999999999995</c:v>
                </c:pt>
                <c:pt idx="26">
                  <c:v>8.0449999999999999</c:v>
                </c:pt>
                <c:pt idx="30">
                  <c:v>8.34</c:v>
                </c:pt>
                <c:pt idx="34">
                  <c:v>8.6389999999999993</c:v>
                </c:pt>
                <c:pt idx="38">
                  <c:v>9.6069999999999993</c:v>
                </c:pt>
                <c:pt idx="40">
                  <c:v>10.093999999999999</c:v>
                </c:pt>
                <c:pt idx="42">
                  <c:v>10.756</c:v>
                </c:pt>
                <c:pt idx="44">
                  <c:v>10.867000000000001</c:v>
                </c:pt>
                <c:pt idx="46">
                  <c:v>11.16</c:v>
                </c:pt>
                <c:pt idx="48">
                  <c:v>10.629</c:v>
                </c:pt>
                <c:pt idx="50">
                  <c:v>11.227</c:v>
                </c:pt>
                <c:pt idx="52">
                  <c:v>10.95</c:v>
                </c:pt>
                <c:pt idx="54">
                  <c:v>10.807</c:v>
                </c:pt>
                <c:pt idx="56">
                  <c:v>8.7029999999999994</c:v>
                </c:pt>
              </c:numCache>
            </c:numRef>
          </c:xVal>
          <c:yVal>
            <c:numRef>
              <c:f>'New tests August'!$V$19:$V$75</c:f>
              <c:numCache>
                <c:formatCode>General</c:formatCode>
                <c:ptCount val="57"/>
                <c:pt idx="44">
                  <c:v>25.56</c:v>
                </c:pt>
                <c:pt idx="50">
                  <c:v>31.46</c:v>
                </c:pt>
                <c:pt idx="56">
                  <c:v>19.18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8-4281-BAD2-E13A10B3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71456"/>
        <c:axId val="318575768"/>
      </c:scatterChart>
      <c:valAx>
        <c:axId val="318571456"/>
        <c:scaling>
          <c:orientation val="minMax"/>
          <c:min val="-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5768"/>
        <c:crosses val="autoZero"/>
        <c:crossBetween val="midCat"/>
      </c:valAx>
      <c:valAx>
        <c:axId val="31857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57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36</xdr:row>
      <xdr:rowOff>3810</xdr:rowOff>
    </xdr:from>
    <xdr:to>
      <xdr:col>20</xdr:col>
      <xdr:colOff>312420</xdr:colOff>
      <xdr:row>51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BC28F-3C7B-4956-ACA1-9ACFF0B27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373156</xdr:colOff>
      <xdr:row>1</xdr:row>
      <xdr:rowOff>123265</xdr:rowOff>
    </xdr:from>
    <xdr:to>
      <xdr:col>9</xdr:col>
      <xdr:colOff>22411</xdr:colOff>
      <xdr:row>9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523876</xdr:colOff>
      <xdr:row>80</xdr:row>
      <xdr:rowOff>0</xdr:rowOff>
    </xdr:from>
    <xdr:to>
      <xdr:col>24</xdr:col>
      <xdr:colOff>420567</xdr:colOff>
      <xdr:row>97</xdr:row>
      <xdr:rowOff>17464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6"/>
  <sheetViews>
    <sheetView zoomScale="115" zoomScaleNormal="115" workbookViewId="0">
      <selection activeCell="H36" sqref="H36"/>
    </sheetView>
  </sheetViews>
  <sheetFormatPr defaultRowHeight="15" x14ac:dyDescent="0.25"/>
  <cols>
    <col min="7" max="7" width="9.85546875" bestFit="1" customWidth="1"/>
    <col min="9" max="9" width="12.42578125" bestFit="1" customWidth="1"/>
  </cols>
  <sheetData>
    <row r="1" spans="1:18" x14ac:dyDescent="0.25">
      <c r="G1" t="s">
        <v>6</v>
      </c>
      <c r="N1">
        <v>100</v>
      </c>
      <c r="O1" t="s">
        <v>0</v>
      </c>
      <c r="Q1" t="s">
        <v>13</v>
      </c>
      <c r="R1" t="s">
        <v>14</v>
      </c>
    </row>
    <row r="2" spans="1:18" x14ac:dyDescent="0.25">
      <c r="G2" t="s">
        <v>4</v>
      </c>
      <c r="K2" t="s">
        <v>5</v>
      </c>
      <c r="L2" t="s">
        <v>7</v>
      </c>
      <c r="M2">
        <v>14</v>
      </c>
      <c r="N2">
        <v>15</v>
      </c>
      <c r="O2" t="s">
        <v>11</v>
      </c>
    </row>
    <row r="3" spans="1:18" x14ac:dyDescent="0.25">
      <c r="A3" t="s">
        <v>3</v>
      </c>
      <c r="B3" t="s">
        <v>0</v>
      </c>
      <c r="C3" t="s">
        <v>1</v>
      </c>
      <c r="D3" t="s">
        <v>2</v>
      </c>
      <c r="G3" t="s">
        <v>3</v>
      </c>
      <c r="H3" t="s">
        <v>2</v>
      </c>
      <c r="L3" t="s">
        <v>8</v>
      </c>
      <c r="M3">
        <v>14</v>
      </c>
      <c r="N3">
        <v>20</v>
      </c>
      <c r="O3" t="s">
        <v>12</v>
      </c>
    </row>
    <row r="4" spans="1:18" x14ac:dyDescent="0.25">
      <c r="A4">
        <v>0</v>
      </c>
      <c r="D4">
        <v>201</v>
      </c>
      <c r="G4">
        <v>0</v>
      </c>
      <c r="L4" t="s">
        <v>9</v>
      </c>
      <c r="M4">
        <v>10.7</v>
      </c>
    </row>
    <row r="5" spans="1:18" x14ac:dyDescent="0.25">
      <c r="A5">
        <v>-5</v>
      </c>
      <c r="D5">
        <v>199</v>
      </c>
      <c r="G5">
        <v>0.5</v>
      </c>
      <c r="L5" t="s">
        <v>10</v>
      </c>
      <c r="M5">
        <v>10.7</v>
      </c>
    </row>
    <row r="6" spans="1:18" x14ac:dyDescent="0.25">
      <c r="A6">
        <v>-10</v>
      </c>
      <c r="D6">
        <v>59.5</v>
      </c>
      <c r="G6">
        <v>1</v>
      </c>
    </row>
    <row r="7" spans="1:18" x14ac:dyDescent="0.25">
      <c r="A7">
        <v>-15</v>
      </c>
      <c r="D7">
        <v>0</v>
      </c>
      <c r="G7">
        <v>1.5</v>
      </c>
    </row>
    <row r="8" spans="1:18" x14ac:dyDescent="0.25">
      <c r="G8">
        <v>2</v>
      </c>
    </row>
    <row r="9" spans="1:18" x14ac:dyDescent="0.25">
      <c r="G9">
        <v>2.5</v>
      </c>
    </row>
    <row r="10" spans="1:18" x14ac:dyDescent="0.25">
      <c r="G10">
        <v>3</v>
      </c>
    </row>
    <row r="11" spans="1:18" x14ac:dyDescent="0.25">
      <c r="G11">
        <v>3.5</v>
      </c>
    </row>
    <row r="12" spans="1:18" x14ac:dyDescent="0.25">
      <c r="G12">
        <v>4</v>
      </c>
    </row>
    <row r="13" spans="1:18" x14ac:dyDescent="0.25">
      <c r="G13">
        <v>4.5</v>
      </c>
    </row>
    <row r="14" spans="1:18" x14ac:dyDescent="0.25">
      <c r="G14">
        <v>5</v>
      </c>
    </row>
    <row r="15" spans="1:18" x14ac:dyDescent="0.25">
      <c r="G15">
        <v>5.5</v>
      </c>
    </row>
    <row r="16" spans="1:18" x14ac:dyDescent="0.25">
      <c r="G16">
        <v>6</v>
      </c>
    </row>
    <row r="17" spans="7:7" x14ac:dyDescent="0.25">
      <c r="G17">
        <v>6.5</v>
      </c>
    </row>
    <row r="18" spans="7:7" x14ac:dyDescent="0.25">
      <c r="G18">
        <v>7</v>
      </c>
    </row>
    <row r="19" spans="7:7" x14ac:dyDescent="0.25">
      <c r="G19">
        <v>7.5</v>
      </c>
    </row>
    <row r="20" spans="7:7" x14ac:dyDescent="0.25">
      <c r="G20">
        <v>8</v>
      </c>
    </row>
    <row r="21" spans="7:7" x14ac:dyDescent="0.25">
      <c r="G21">
        <v>8.5</v>
      </c>
    </row>
    <row r="22" spans="7:7" x14ac:dyDescent="0.25">
      <c r="G22">
        <v>9</v>
      </c>
    </row>
    <row r="23" spans="7:7" x14ac:dyDescent="0.25">
      <c r="G23">
        <v>9.5</v>
      </c>
    </row>
    <row r="24" spans="7:7" x14ac:dyDescent="0.25">
      <c r="G24">
        <v>10</v>
      </c>
    </row>
    <row r="25" spans="7:7" x14ac:dyDescent="0.25">
      <c r="G25">
        <v>10.5</v>
      </c>
    </row>
    <row r="26" spans="7:7" x14ac:dyDescent="0.25">
      <c r="G26">
        <v>11</v>
      </c>
    </row>
    <row r="27" spans="7:7" x14ac:dyDescent="0.25">
      <c r="G27">
        <v>11.5</v>
      </c>
    </row>
    <row r="28" spans="7:7" x14ac:dyDescent="0.25">
      <c r="G28">
        <v>12</v>
      </c>
    </row>
    <row r="29" spans="7:7" x14ac:dyDescent="0.25">
      <c r="G29">
        <v>12.5</v>
      </c>
    </row>
    <row r="30" spans="7:7" x14ac:dyDescent="0.25">
      <c r="G30">
        <v>13</v>
      </c>
    </row>
    <row r="31" spans="7:7" x14ac:dyDescent="0.25">
      <c r="G31">
        <v>13.5</v>
      </c>
    </row>
    <row r="32" spans="7:7" x14ac:dyDescent="0.25">
      <c r="G32">
        <v>14</v>
      </c>
    </row>
    <row r="33" spans="6:10" x14ac:dyDescent="0.25">
      <c r="G33">
        <v>14.5</v>
      </c>
    </row>
    <row r="34" spans="6:10" x14ac:dyDescent="0.25">
      <c r="G34">
        <v>15</v>
      </c>
    </row>
    <row r="36" spans="6:10" x14ac:dyDescent="0.25">
      <c r="F36">
        <v>0</v>
      </c>
      <c r="G36">
        <v>0</v>
      </c>
      <c r="H36">
        <v>167</v>
      </c>
      <c r="J36">
        <v>165</v>
      </c>
    </row>
    <row r="37" spans="6:10" x14ac:dyDescent="0.25">
      <c r="F37">
        <v>-0.5</v>
      </c>
      <c r="G37">
        <v>999.5</v>
      </c>
      <c r="H37">
        <v>165</v>
      </c>
    </row>
    <row r="38" spans="6:10" x14ac:dyDescent="0.25">
      <c r="F38">
        <v>-1</v>
      </c>
      <c r="G38">
        <v>999</v>
      </c>
      <c r="H38">
        <v>164</v>
      </c>
    </row>
    <row r="39" spans="6:10" x14ac:dyDescent="0.25">
      <c r="F39">
        <v>-1.5</v>
      </c>
      <c r="G39">
        <v>998.5</v>
      </c>
      <c r="H39">
        <v>162</v>
      </c>
    </row>
    <row r="40" spans="6:10" x14ac:dyDescent="0.25">
      <c r="F40">
        <v>-2</v>
      </c>
      <c r="G40">
        <v>998</v>
      </c>
      <c r="H40">
        <v>156</v>
      </c>
    </row>
    <row r="41" spans="6:10" x14ac:dyDescent="0.25">
      <c r="F41">
        <v>-2.5</v>
      </c>
      <c r="G41">
        <v>997.5</v>
      </c>
      <c r="H41">
        <v>151</v>
      </c>
    </row>
    <row r="42" spans="6:10" x14ac:dyDescent="0.25">
      <c r="F42">
        <v>-3</v>
      </c>
      <c r="G42">
        <v>997</v>
      </c>
      <c r="H42">
        <v>145</v>
      </c>
    </row>
    <row r="43" spans="6:10" x14ac:dyDescent="0.25">
      <c r="F43">
        <v>-3.5</v>
      </c>
      <c r="G43">
        <v>996.5</v>
      </c>
      <c r="H43">
        <v>136</v>
      </c>
    </row>
    <row r="44" spans="6:10" x14ac:dyDescent="0.25">
      <c r="F44">
        <v>-4</v>
      </c>
      <c r="G44">
        <v>996</v>
      </c>
      <c r="H44">
        <v>133</v>
      </c>
    </row>
    <row r="45" spans="6:10" x14ac:dyDescent="0.25">
      <c r="F45">
        <v>-4.5</v>
      </c>
      <c r="G45">
        <v>995.5</v>
      </c>
      <c r="H45">
        <v>111</v>
      </c>
    </row>
    <row r="46" spans="6:10" x14ac:dyDescent="0.25">
      <c r="F46">
        <v>-5</v>
      </c>
      <c r="G46">
        <v>995</v>
      </c>
      <c r="H46">
        <v>105</v>
      </c>
    </row>
    <row r="47" spans="6:10" x14ac:dyDescent="0.25">
      <c r="F47">
        <v>-5.5</v>
      </c>
      <c r="G47">
        <v>994.5</v>
      </c>
      <c r="H47">
        <v>94</v>
      </c>
    </row>
    <row r="48" spans="6:10" x14ac:dyDescent="0.25">
      <c r="F48">
        <v>-6</v>
      </c>
      <c r="G48">
        <v>994</v>
      </c>
      <c r="H48">
        <v>83</v>
      </c>
      <c r="J48">
        <v>72.8</v>
      </c>
    </row>
    <row r="49" spans="6:10" x14ac:dyDescent="0.25">
      <c r="F49">
        <v>-6.5</v>
      </c>
      <c r="G49">
        <v>993.5</v>
      </c>
      <c r="H49">
        <v>72</v>
      </c>
      <c r="J49">
        <v>60.4</v>
      </c>
    </row>
    <row r="50" spans="6:10" x14ac:dyDescent="0.25">
      <c r="F50">
        <v>-7</v>
      </c>
      <c r="G50">
        <v>993</v>
      </c>
      <c r="H50">
        <v>59</v>
      </c>
      <c r="J50">
        <v>46.6</v>
      </c>
    </row>
    <row r="51" spans="6:10" x14ac:dyDescent="0.25">
      <c r="F51">
        <v>-7.5</v>
      </c>
      <c r="G51">
        <v>992.5</v>
      </c>
      <c r="H51">
        <v>44</v>
      </c>
      <c r="J51">
        <v>33</v>
      </c>
    </row>
    <row r="52" spans="6:10" x14ac:dyDescent="0.25">
      <c r="F52">
        <v>-8</v>
      </c>
      <c r="G52">
        <v>992</v>
      </c>
      <c r="I52" t="s">
        <v>15</v>
      </c>
      <c r="J52">
        <v>28.5</v>
      </c>
    </row>
    <row r="53" spans="6:10" x14ac:dyDescent="0.25">
      <c r="F53">
        <v>-8.5</v>
      </c>
      <c r="G53">
        <v>991.5</v>
      </c>
      <c r="J53">
        <v>26</v>
      </c>
    </row>
    <row r="54" spans="6:10" x14ac:dyDescent="0.25">
      <c r="F54">
        <v>-9</v>
      </c>
      <c r="G54">
        <v>991</v>
      </c>
      <c r="J54">
        <v>24.5</v>
      </c>
    </row>
    <row r="55" spans="6:10" x14ac:dyDescent="0.25">
      <c r="F55">
        <v>-9.5</v>
      </c>
      <c r="G55">
        <v>990.5</v>
      </c>
      <c r="J55">
        <v>24.5</v>
      </c>
    </row>
    <row r="56" spans="6:10" x14ac:dyDescent="0.25">
      <c r="F56">
        <v>-10</v>
      </c>
      <c r="G56">
        <v>990</v>
      </c>
      <c r="J56">
        <v>23.5</v>
      </c>
    </row>
    <row r="57" spans="6:10" x14ac:dyDescent="0.25">
      <c r="F57">
        <v>-10.5</v>
      </c>
      <c r="G57">
        <v>989.5</v>
      </c>
      <c r="J57">
        <v>22</v>
      </c>
    </row>
    <row r="58" spans="6:10" x14ac:dyDescent="0.25">
      <c r="F58">
        <v>-11</v>
      </c>
      <c r="G58">
        <v>989</v>
      </c>
      <c r="J58">
        <v>21.7</v>
      </c>
    </row>
    <row r="59" spans="6:10" x14ac:dyDescent="0.25">
      <c r="F59">
        <v>-11.5</v>
      </c>
      <c r="G59">
        <v>988.5</v>
      </c>
      <c r="J59">
        <v>21.4</v>
      </c>
    </row>
    <row r="60" spans="6:10" x14ac:dyDescent="0.25">
      <c r="F60">
        <v>-12</v>
      </c>
      <c r="G60">
        <v>988</v>
      </c>
      <c r="J60">
        <v>21</v>
      </c>
    </row>
    <row r="61" spans="6:10" x14ac:dyDescent="0.25">
      <c r="F61">
        <v>-12.5</v>
      </c>
      <c r="G61">
        <v>987.5</v>
      </c>
      <c r="J61">
        <v>20.7</v>
      </c>
    </row>
    <row r="62" spans="6:10" x14ac:dyDescent="0.25">
      <c r="F62">
        <v>-13</v>
      </c>
      <c r="G62">
        <v>987</v>
      </c>
      <c r="J62">
        <v>17.899999999999999</v>
      </c>
    </row>
    <row r="63" spans="6:10" x14ac:dyDescent="0.25">
      <c r="F63">
        <v>-13.5</v>
      </c>
      <c r="G63">
        <v>986.5</v>
      </c>
      <c r="J63">
        <v>17.899999999999999</v>
      </c>
    </row>
    <row r="64" spans="6:10" x14ac:dyDescent="0.25">
      <c r="F64">
        <v>-14</v>
      </c>
      <c r="G64">
        <v>986</v>
      </c>
    </row>
    <row r="65" spans="6:7" x14ac:dyDescent="0.25">
      <c r="F65">
        <v>-14.5</v>
      </c>
      <c r="G65">
        <v>985.5</v>
      </c>
    </row>
    <row r="66" spans="6:7" x14ac:dyDescent="0.25">
      <c r="F66">
        <v>-15</v>
      </c>
      <c r="G66">
        <v>985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4"/>
  <sheetViews>
    <sheetView workbookViewId="0">
      <selection activeCell="B13" sqref="B13"/>
    </sheetView>
  </sheetViews>
  <sheetFormatPr defaultRowHeight="15" x14ac:dyDescent="0.25"/>
  <sheetData>
    <row r="1" spans="1:6" x14ac:dyDescent="0.25">
      <c r="A1" t="s">
        <v>16</v>
      </c>
      <c r="E1" t="s">
        <v>7</v>
      </c>
      <c r="F1">
        <v>14</v>
      </c>
    </row>
    <row r="2" spans="1:6" x14ac:dyDescent="0.25">
      <c r="B2" t="s">
        <v>17</v>
      </c>
      <c r="C2">
        <v>100</v>
      </c>
      <c r="E2" t="s">
        <v>8</v>
      </c>
      <c r="F2">
        <v>14</v>
      </c>
    </row>
    <row r="3" spans="1:6" x14ac:dyDescent="0.25">
      <c r="B3" t="s">
        <v>11</v>
      </c>
      <c r="C3">
        <v>15</v>
      </c>
      <c r="E3" t="s">
        <v>9</v>
      </c>
      <c r="F3">
        <v>10.7</v>
      </c>
    </row>
    <row r="4" spans="1:6" x14ac:dyDescent="0.25">
      <c r="B4" t="s">
        <v>12</v>
      </c>
      <c r="C4">
        <v>20</v>
      </c>
      <c r="E4" t="s">
        <v>10</v>
      </c>
      <c r="F4">
        <v>10.7</v>
      </c>
    </row>
    <row r="5" spans="1:6" x14ac:dyDescent="0.25">
      <c r="B5" t="s">
        <v>23</v>
      </c>
      <c r="C5">
        <v>15</v>
      </c>
    </row>
    <row r="6" spans="1:6" x14ac:dyDescent="0.25">
      <c r="B6" t="s">
        <v>35</v>
      </c>
      <c r="C6" t="s">
        <v>37</v>
      </c>
    </row>
    <row r="7" spans="1:6" x14ac:dyDescent="0.25">
      <c r="B7" t="s">
        <v>36</v>
      </c>
      <c r="C7" t="s">
        <v>38</v>
      </c>
    </row>
    <row r="9" spans="1:6" x14ac:dyDescent="0.25">
      <c r="A9" t="s">
        <v>21</v>
      </c>
      <c r="B9">
        <v>100.38</v>
      </c>
      <c r="C9" t="s">
        <v>21</v>
      </c>
    </row>
    <row r="10" spans="1:6" x14ac:dyDescent="0.25">
      <c r="A10" t="s">
        <v>18</v>
      </c>
      <c r="B10">
        <v>6.8869999999999996</v>
      </c>
      <c r="C10" t="s">
        <v>25</v>
      </c>
    </row>
    <row r="11" spans="1:6" x14ac:dyDescent="0.25">
      <c r="A11" t="s">
        <v>19</v>
      </c>
      <c r="B11">
        <v>10.829000000000001</v>
      </c>
      <c r="C11" t="s">
        <v>26</v>
      </c>
    </row>
    <row r="12" spans="1:6" x14ac:dyDescent="0.25">
      <c r="A12" t="s">
        <v>27</v>
      </c>
      <c r="B12">
        <v>1.3919999999999999</v>
      </c>
      <c r="C12" t="s">
        <v>22</v>
      </c>
    </row>
    <row r="13" spans="1:6" x14ac:dyDescent="0.25">
      <c r="A13" t="s">
        <v>28</v>
      </c>
      <c r="B13">
        <v>0.17100000000000001</v>
      </c>
      <c r="C13" t="s">
        <v>20</v>
      </c>
      <c r="F13">
        <f>B13/B14</f>
        <v>1.1594084982608872E-2</v>
      </c>
    </row>
    <row r="14" spans="1:6" x14ac:dyDescent="0.25">
      <c r="A14" t="s">
        <v>24</v>
      </c>
      <c r="B14">
        <v>14.748900000000001</v>
      </c>
      <c r="C1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4"/>
  <sheetViews>
    <sheetView workbookViewId="0">
      <selection activeCell="B10" sqref="B10"/>
    </sheetView>
  </sheetViews>
  <sheetFormatPr defaultRowHeight="15" x14ac:dyDescent="0.25"/>
  <sheetData>
    <row r="1" spans="1:10" x14ac:dyDescent="0.25">
      <c r="A1" t="s">
        <v>29</v>
      </c>
      <c r="F1" t="s">
        <v>7</v>
      </c>
      <c r="G1">
        <v>24.7</v>
      </c>
      <c r="H1" t="s">
        <v>39</v>
      </c>
      <c r="J1" t="s">
        <v>40</v>
      </c>
    </row>
    <row r="2" spans="1:10" x14ac:dyDescent="0.25">
      <c r="B2" t="s">
        <v>17</v>
      </c>
      <c r="C2">
        <v>125</v>
      </c>
      <c r="F2" t="s">
        <v>8</v>
      </c>
      <c r="G2">
        <v>3.3</v>
      </c>
    </row>
    <row r="3" spans="1:10" x14ac:dyDescent="0.25">
      <c r="B3" t="s">
        <v>11</v>
      </c>
      <c r="C3">
        <v>60</v>
      </c>
      <c r="F3" t="s">
        <v>9</v>
      </c>
      <c r="G3">
        <v>10.7</v>
      </c>
    </row>
    <row r="4" spans="1:10" x14ac:dyDescent="0.25">
      <c r="B4" t="s">
        <v>12</v>
      </c>
      <c r="C4">
        <v>20</v>
      </c>
      <c r="F4" t="s">
        <v>10</v>
      </c>
      <c r="G4">
        <v>10.7</v>
      </c>
    </row>
    <row r="5" spans="1:10" x14ac:dyDescent="0.25">
      <c r="B5" t="s">
        <v>23</v>
      </c>
      <c r="C5">
        <v>15</v>
      </c>
    </row>
    <row r="6" spans="1:10" x14ac:dyDescent="0.25">
      <c r="B6" t="s">
        <v>35</v>
      </c>
      <c r="C6" t="s">
        <v>38</v>
      </c>
    </row>
    <row r="7" spans="1:10" x14ac:dyDescent="0.25">
      <c r="B7" t="s">
        <v>36</v>
      </c>
      <c r="C7" t="s">
        <v>37</v>
      </c>
    </row>
    <row r="9" spans="1:10" x14ac:dyDescent="0.25">
      <c r="A9" t="s">
        <v>21</v>
      </c>
      <c r="B9">
        <v>129.04</v>
      </c>
      <c r="C9" t="s">
        <v>21</v>
      </c>
    </row>
    <row r="10" spans="1:10" x14ac:dyDescent="0.25">
      <c r="A10" t="s">
        <v>18</v>
      </c>
      <c r="B10">
        <v>8.3710000000000004</v>
      </c>
      <c r="C10" t="s">
        <v>25</v>
      </c>
    </row>
    <row r="11" spans="1:10" x14ac:dyDescent="0.25">
      <c r="A11" t="s">
        <v>19</v>
      </c>
      <c r="B11" t="s">
        <v>44</v>
      </c>
      <c r="C11" t="s">
        <v>26</v>
      </c>
    </row>
    <row r="12" spans="1:10" x14ac:dyDescent="0.25">
      <c r="A12" t="s">
        <v>27</v>
      </c>
      <c r="B12">
        <v>9.2799999999999994</v>
      </c>
      <c r="C12" t="s">
        <v>22</v>
      </c>
    </row>
    <row r="13" spans="1:10" x14ac:dyDescent="0.25">
      <c r="A13" t="s">
        <v>28</v>
      </c>
      <c r="B13">
        <v>1.1100000000000001</v>
      </c>
      <c r="C13" t="s">
        <v>20</v>
      </c>
    </row>
    <row r="14" spans="1:10" x14ac:dyDescent="0.25">
      <c r="A14" t="s">
        <v>24</v>
      </c>
      <c r="B14">
        <v>14.757400000000001</v>
      </c>
      <c r="C1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4"/>
  <sheetViews>
    <sheetView workbookViewId="0">
      <selection activeCell="B10" sqref="B10"/>
    </sheetView>
  </sheetViews>
  <sheetFormatPr defaultRowHeight="15" x14ac:dyDescent="0.25"/>
  <sheetData>
    <row r="1" spans="1:10" x14ac:dyDescent="0.25">
      <c r="A1" t="s">
        <v>34</v>
      </c>
      <c r="F1" t="s">
        <v>7</v>
      </c>
      <c r="G1">
        <v>24.7</v>
      </c>
      <c r="H1" t="s">
        <v>39</v>
      </c>
      <c r="J1" t="s">
        <v>40</v>
      </c>
    </row>
    <row r="2" spans="1:10" x14ac:dyDescent="0.25">
      <c r="B2" t="s">
        <v>17</v>
      </c>
      <c r="C2">
        <v>140</v>
      </c>
      <c r="F2" t="s">
        <v>8</v>
      </c>
      <c r="G2">
        <v>3.3</v>
      </c>
    </row>
    <row r="3" spans="1:10" x14ac:dyDescent="0.25">
      <c r="B3" t="s">
        <v>11</v>
      </c>
      <c r="C3">
        <v>75</v>
      </c>
      <c r="F3" t="s">
        <v>9</v>
      </c>
      <c r="G3">
        <v>10.7</v>
      </c>
    </row>
    <row r="4" spans="1:10" x14ac:dyDescent="0.25">
      <c r="B4" t="s">
        <v>12</v>
      </c>
      <c r="C4">
        <v>25</v>
      </c>
      <c r="F4" t="s">
        <v>10</v>
      </c>
      <c r="G4">
        <v>10.7</v>
      </c>
    </row>
    <row r="5" spans="1:10" x14ac:dyDescent="0.25">
      <c r="B5" t="s">
        <v>23</v>
      </c>
      <c r="C5">
        <v>5</v>
      </c>
    </row>
    <row r="6" spans="1:10" x14ac:dyDescent="0.25">
      <c r="B6" t="s">
        <v>35</v>
      </c>
      <c r="C6" t="s">
        <v>38</v>
      </c>
    </row>
    <row r="7" spans="1:10" x14ac:dyDescent="0.25">
      <c r="B7" t="s">
        <v>36</v>
      </c>
      <c r="C7" t="s">
        <v>37</v>
      </c>
    </row>
    <row r="9" spans="1:10" x14ac:dyDescent="0.25">
      <c r="A9" t="s">
        <v>21</v>
      </c>
      <c r="B9">
        <v>143.29</v>
      </c>
      <c r="C9" t="s">
        <v>21</v>
      </c>
    </row>
    <row r="10" spans="1:10" x14ac:dyDescent="0.25">
      <c r="A10" t="s">
        <v>18</v>
      </c>
      <c r="B10">
        <v>8.9420000000000002</v>
      </c>
      <c r="C10" t="s">
        <v>25</v>
      </c>
    </row>
    <row r="11" spans="1:10" x14ac:dyDescent="0.25">
      <c r="A11" t="s">
        <v>19</v>
      </c>
      <c r="B11" t="s">
        <v>44</v>
      </c>
      <c r="C11" t="s">
        <v>26</v>
      </c>
    </row>
    <row r="12" spans="1:10" x14ac:dyDescent="0.25">
      <c r="A12" t="s">
        <v>27</v>
      </c>
      <c r="B12">
        <v>6.008</v>
      </c>
      <c r="C12" t="s">
        <v>22</v>
      </c>
    </row>
    <row r="13" spans="1:10" x14ac:dyDescent="0.25">
      <c r="A13" t="s">
        <v>28</v>
      </c>
      <c r="B13">
        <v>0.75</v>
      </c>
      <c r="C13" t="s">
        <v>20</v>
      </c>
    </row>
    <row r="14" spans="1:10" x14ac:dyDescent="0.25">
      <c r="A14" t="s">
        <v>24</v>
      </c>
      <c r="B14">
        <v>4.9668900000000002</v>
      </c>
      <c r="C1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4"/>
  <sheetViews>
    <sheetView workbookViewId="0">
      <selection activeCell="I17" sqref="I17"/>
    </sheetView>
  </sheetViews>
  <sheetFormatPr defaultRowHeight="15" x14ac:dyDescent="0.25"/>
  <sheetData>
    <row r="1" spans="1:10" x14ac:dyDescent="0.25">
      <c r="A1" t="s">
        <v>41</v>
      </c>
      <c r="B1" t="s">
        <v>30</v>
      </c>
      <c r="C1" t="s">
        <v>31</v>
      </c>
      <c r="E1" t="s">
        <v>42</v>
      </c>
      <c r="F1" t="s">
        <v>30</v>
      </c>
      <c r="G1" t="s">
        <v>31</v>
      </c>
      <c r="I1" t="s">
        <v>7</v>
      </c>
      <c r="J1">
        <v>14</v>
      </c>
    </row>
    <row r="2" spans="1:10" x14ac:dyDescent="0.25">
      <c r="B2" t="s">
        <v>17</v>
      </c>
      <c r="C2">
        <v>125</v>
      </c>
      <c r="F2" t="s">
        <v>17</v>
      </c>
      <c r="G2">
        <v>125</v>
      </c>
      <c r="I2" t="s">
        <v>8</v>
      </c>
      <c r="J2">
        <v>14</v>
      </c>
    </row>
    <row r="3" spans="1:10" x14ac:dyDescent="0.25">
      <c r="B3" t="s">
        <v>11</v>
      </c>
      <c r="C3">
        <v>10</v>
      </c>
      <c r="F3" t="s">
        <v>11</v>
      </c>
      <c r="G3">
        <v>10</v>
      </c>
      <c r="I3" t="s">
        <v>9</v>
      </c>
      <c r="J3">
        <v>10.7</v>
      </c>
    </row>
    <row r="4" spans="1:10" x14ac:dyDescent="0.25">
      <c r="B4" t="s">
        <v>12</v>
      </c>
      <c r="C4">
        <v>10</v>
      </c>
      <c r="F4" t="s">
        <v>12</v>
      </c>
      <c r="G4">
        <v>10</v>
      </c>
      <c r="I4" t="s">
        <v>10</v>
      </c>
      <c r="J4">
        <v>10.7</v>
      </c>
    </row>
    <row r="5" spans="1:10" x14ac:dyDescent="0.25">
      <c r="B5" t="s">
        <v>23</v>
      </c>
      <c r="C5">
        <v>7</v>
      </c>
      <c r="F5" t="s">
        <v>23</v>
      </c>
      <c r="G5">
        <v>7</v>
      </c>
    </row>
    <row r="6" spans="1:10" x14ac:dyDescent="0.25">
      <c r="B6" t="s">
        <v>35</v>
      </c>
      <c r="C6" t="s">
        <v>37</v>
      </c>
      <c r="F6" t="s">
        <v>35</v>
      </c>
      <c r="G6" t="s">
        <v>37</v>
      </c>
    </row>
    <row r="7" spans="1:10" x14ac:dyDescent="0.25">
      <c r="B7" t="s">
        <v>36</v>
      </c>
      <c r="C7" t="s">
        <v>38</v>
      </c>
      <c r="F7" t="s">
        <v>36</v>
      </c>
      <c r="G7" t="s">
        <v>38</v>
      </c>
    </row>
    <row r="9" spans="1:10" x14ac:dyDescent="0.25">
      <c r="A9" t="s">
        <v>21</v>
      </c>
      <c r="B9">
        <v>122.89</v>
      </c>
      <c r="C9" t="s">
        <v>21</v>
      </c>
      <c r="E9" t="s">
        <v>21</v>
      </c>
      <c r="F9">
        <v>121.1</v>
      </c>
      <c r="G9" t="s">
        <v>21</v>
      </c>
    </row>
    <row r="10" spans="1:10" x14ac:dyDescent="0.25">
      <c r="A10" t="s">
        <v>18</v>
      </c>
      <c r="B10">
        <v>7.8490000000000002</v>
      </c>
      <c r="C10" t="s">
        <v>25</v>
      </c>
      <c r="E10" t="s">
        <v>18</v>
      </c>
      <c r="F10">
        <v>7.8570000000000002</v>
      </c>
      <c r="G10" t="s">
        <v>25</v>
      </c>
    </row>
    <row r="11" spans="1:10" x14ac:dyDescent="0.25">
      <c r="A11" t="s">
        <v>19</v>
      </c>
      <c r="B11">
        <v>9.8830799999999996</v>
      </c>
      <c r="C11" t="s">
        <v>26</v>
      </c>
      <c r="E11" t="s">
        <v>19</v>
      </c>
      <c r="F11">
        <v>10.8568</v>
      </c>
      <c r="G11" t="s">
        <v>26</v>
      </c>
    </row>
    <row r="12" spans="1:10" x14ac:dyDescent="0.25">
      <c r="A12" t="s">
        <v>27</v>
      </c>
      <c r="B12">
        <v>0.68899999999999995</v>
      </c>
      <c r="C12" t="s">
        <v>22</v>
      </c>
      <c r="E12" t="s">
        <v>27</v>
      </c>
      <c r="F12">
        <v>0.55600000000000005</v>
      </c>
      <c r="G12" t="s">
        <v>22</v>
      </c>
    </row>
    <row r="13" spans="1:10" x14ac:dyDescent="0.25">
      <c r="A13" t="s">
        <v>28</v>
      </c>
      <c r="B13">
        <v>6.6000000000000003E-2</v>
      </c>
      <c r="C13" t="s">
        <v>20</v>
      </c>
      <c r="E13" t="s">
        <v>28</v>
      </c>
      <c r="F13">
        <v>6.0000000000000001E-3</v>
      </c>
      <c r="G13" t="s">
        <v>20</v>
      </c>
    </row>
    <row r="14" spans="1:10" x14ac:dyDescent="0.25">
      <c r="A14" t="s">
        <v>24</v>
      </c>
      <c r="B14" t="s">
        <v>44</v>
      </c>
      <c r="C14" t="s">
        <v>24</v>
      </c>
      <c r="E14" t="s">
        <v>24</v>
      </c>
      <c r="F14" t="s">
        <v>44</v>
      </c>
      <c r="G1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4"/>
  <sheetViews>
    <sheetView workbookViewId="0">
      <selection activeCell="H22" sqref="H22"/>
    </sheetView>
  </sheetViews>
  <sheetFormatPr defaultRowHeight="15" x14ac:dyDescent="0.25"/>
  <sheetData>
    <row r="1" spans="1:8" x14ac:dyDescent="0.25">
      <c r="A1" t="s">
        <v>32</v>
      </c>
      <c r="F1" t="s">
        <v>7</v>
      </c>
      <c r="G1">
        <v>24.7</v>
      </c>
      <c r="H1" t="s">
        <v>39</v>
      </c>
    </row>
    <row r="2" spans="1:8" x14ac:dyDescent="0.25">
      <c r="B2" t="s">
        <v>17</v>
      </c>
      <c r="C2">
        <v>125</v>
      </c>
      <c r="F2" t="s">
        <v>8</v>
      </c>
      <c r="G2">
        <v>3.3</v>
      </c>
    </row>
    <row r="3" spans="1:8" x14ac:dyDescent="0.25">
      <c r="B3" t="s">
        <v>11</v>
      </c>
      <c r="C3">
        <v>15</v>
      </c>
      <c r="F3" t="s">
        <v>9</v>
      </c>
      <c r="G3">
        <v>10.7</v>
      </c>
    </row>
    <row r="4" spans="1:8" x14ac:dyDescent="0.25">
      <c r="B4" t="s">
        <v>12</v>
      </c>
      <c r="C4">
        <v>20</v>
      </c>
      <c r="F4" t="s">
        <v>10</v>
      </c>
      <c r="G4">
        <v>10.7</v>
      </c>
    </row>
    <row r="5" spans="1:8" x14ac:dyDescent="0.25">
      <c r="B5" t="s">
        <v>23</v>
      </c>
      <c r="C5">
        <v>15</v>
      </c>
    </row>
    <row r="6" spans="1:8" x14ac:dyDescent="0.25">
      <c r="B6" t="s">
        <v>35</v>
      </c>
      <c r="C6" t="s">
        <v>38</v>
      </c>
    </row>
    <row r="7" spans="1:8" x14ac:dyDescent="0.25">
      <c r="B7" t="s">
        <v>36</v>
      </c>
      <c r="C7" t="s">
        <v>37</v>
      </c>
    </row>
    <row r="9" spans="1:8" x14ac:dyDescent="0.25">
      <c r="A9" t="s">
        <v>21</v>
      </c>
      <c r="B9">
        <v>123.96</v>
      </c>
      <c r="C9" t="s">
        <v>21</v>
      </c>
    </row>
    <row r="10" spans="1:8" x14ac:dyDescent="0.25">
      <c r="A10" t="s">
        <v>18</v>
      </c>
      <c r="B10">
        <v>7.9530000000000003</v>
      </c>
      <c r="C10" t="s">
        <v>25</v>
      </c>
    </row>
    <row r="11" spans="1:8" x14ac:dyDescent="0.25">
      <c r="A11" t="s">
        <v>19</v>
      </c>
      <c r="B11" t="s">
        <v>44</v>
      </c>
      <c r="C11" t="s">
        <v>26</v>
      </c>
    </row>
    <row r="12" spans="1:8" x14ac:dyDescent="0.25">
      <c r="A12" t="s">
        <v>27</v>
      </c>
      <c r="B12">
        <v>3.839</v>
      </c>
      <c r="C12" t="s">
        <v>22</v>
      </c>
    </row>
    <row r="13" spans="1:8" x14ac:dyDescent="0.25">
      <c r="A13" t="s">
        <v>28</v>
      </c>
      <c r="B13">
        <v>0.32100000000000001</v>
      </c>
      <c r="C13" t="s">
        <v>20</v>
      </c>
    </row>
    <row r="14" spans="1:8" x14ac:dyDescent="0.25">
      <c r="A14" t="s">
        <v>24</v>
      </c>
      <c r="B14">
        <v>14.7658</v>
      </c>
      <c r="C1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14"/>
  <sheetViews>
    <sheetView workbookViewId="0">
      <selection activeCell="G29" sqref="G29"/>
    </sheetView>
  </sheetViews>
  <sheetFormatPr defaultRowHeight="15" x14ac:dyDescent="0.25"/>
  <sheetData>
    <row r="1" spans="1:8" x14ac:dyDescent="0.25">
      <c r="A1" t="s">
        <v>33</v>
      </c>
      <c r="E1" t="s">
        <v>7</v>
      </c>
      <c r="F1">
        <v>14</v>
      </c>
      <c r="H1" t="s">
        <v>43</v>
      </c>
    </row>
    <row r="2" spans="1:8" x14ac:dyDescent="0.25">
      <c r="B2" t="s">
        <v>17</v>
      </c>
      <c r="C2">
        <v>80</v>
      </c>
      <c r="E2" t="s">
        <v>8</v>
      </c>
      <c r="F2">
        <v>14</v>
      </c>
    </row>
    <row r="3" spans="1:8" x14ac:dyDescent="0.25">
      <c r="B3" t="s">
        <v>11</v>
      </c>
      <c r="C3">
        <v>20</v>
      </c>
      <c r="E3" t="s">
        <v>9</v>
      </c>
      <c r="F3">
        <v>10.7</v>
      </c>
    </row>
    <row r="4" spans="1:8" x14ac:dyDescent="0.25">
      <c r="B4" t="s">
        <v>12</v>
      </c>
      <c r="C4">
        <v>10</v>
      </c>
      <c r="E4" t="s">
        <v>10</v>
      </c>
      <c r="F4">
        <v>10.7</v>
      </c>
    </row>
    <row r="5" spans="1:8" x14ac:dyDescent="0.25">
      <c r="B5" t="s">
        <v>23</v>
      </c>
      <c r="C5">
        <v>15</v>
      </c>
    </row>
    <row r="6" spans="1:8" x14ac:dyDescent="0.25">
      <c r="B6" t="s">
        <v>35</v>
      </c>
      <c r="C6" t="s">
        <v>37</v>
      </c>
    </row>
    <row r="7" spans="1:8" x14ac:dyDescent="0.25">
      <c r="B7" t="s">
        <v>36</v>
      </c>
      <c r="C7" t="s">
        <v>38</v>
      </c>
    </row>
    <row r="9" spans="1:8" x14ac:dyDescent="0.25">
      <c r="A9" t="s">
        <v>21</v>
      </c>
      <c r="B9">
        <v>79.81</v>
      </c>
      <c r="C9" t="s">
        <v>21</v>
      </c>
    </row>
    <row r="10" spans="1:8" x14ac:dyDescent="0.25">
      <c r="A10" t="s">
        <v>18</v>
      </c>
      <c r="B10">
        <v>5.7370000000000001</v>
      </c>
      <c r="C10" t="s">
        <v>25</v>
      </c>
    </row>
    <row r="11" spans="1:8" x14ac:dyDescent="0.25">
      <c r="A11" t="s">
        <v>19</v>
      </c>
      <c r="B11">
        <v>10.9072</v>
      </c>
      <c r="C11" t="s">
        <v>26</v>
      </c>
    </row>
    <row r="12" spans="1:8" x14ac:dyDescent="0.25">
      <c r="A12" t="s">
        <v>27</v>
      </c>
      <c r="B12">
        <v>0.63100000000000001</v>
      </c>
      <c r="C12" t="s">
        <v>22</v>
      </c>
    </row>
    <row r="13" spans="1:8" x14ac:dyDescent="0.25">
      <c r="A13" t="s">
        <v>28</v>
      </c>
      <c r="B13">
        <v>5.8000000000000003E-2</v>
      </c>
      <c r="C13" t="s">
        <v>20</v>
      </c>
    </row>
    <row r="14" spans="1:8" x14ac:dyDescent="0.25">
      <c r="A14" t="s">
        <v>24</v>
      </c>
      <c r="B14">
        <v>14.7813</v>
      </c>
      <c r="C1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AA21"/>
  <sheetViews>
    <sheetView workbookViewId="0">
      <selection activeCell="F14" sqref="F14"/>
    </sheetView>
  </sheetViews>
  <sheetFormatPr defaultRowHeight="15" x14ac:dyDescent="0.25"/>
  <cols>
    <col min="9" max="9" width="10" bestFit="1" customWidth="1"/>
    <col min="13" max="13" width="9.7109375" bestFit="1" customWidth="1"/>
    <col min="17" max="17" width="9.7109375" bestFit="1" customWidth="1"/>
    <col min="25" max="25" width="11.28515625" bestFit="1" customWidth="1"/>
  </cols>
  <sheetData>
    <row r="2" spans="1:27" x14ac:dyDescent="0.25">
      <c r="A2" s="1" t="s">
        <v>16</v>
      </c>
      <c r="B2" s="2" t="s">
        <v>46</v>
      </c>
      <c r="C2" s="3" t="s">
        <v>47</v>
      </c>
      <c r="E2" s="1" t="s">
        <v>29</v>
      </c>
      <c r="F2" s="2" t="s">
        <v>46</v>
      </c>
      <c r="G2" s="3" t="s">
        <v>47</v>
      </c>
      <c r="I2" s="1" t="s">
        <v>34</v>
      </c>
      <c r="J2" s="2" t="s">
        <v>46</v>
      </c>
      <c r="K2" s="3" t="s">
        <v>47</v>
      </c>
      <c r="M2" s="1" t="s">
        <v>41</v>
      </c>
      <c r="N2" s="2" t="s">
        <v>46</v>
      </c>
      <c r="O2" s="3" t="s">
        <v>47</v>
      </c>
      <c r="Q2" s="1" t="s">
        <v>42</v>
      </c>
      <c r="R2" s="2" t="s">
        <v>46</v>
      </c>
      <c r="S2" s="3" t="s">
        <v>47</v>
      </c>
      <c r="U2" s="1" t="s">
        <v>32</v>
      </c>
      <c r="V2" s="2" t="s">
        <v>46</v>
      </c>
      <c r="W2" s="3" t="s">
        <v>47</v>
      </c>
      <c r="Y2" s="1" t="s">
        <v>33</v>
      </c>
      <c r="Z2" s="2" t="s">
        <v>46</v>
      </c>
      <c r="AA2" s="3" t="s">
        <v>48</v>
      </c>
    </row>
    <row r="3" spans="1:27" x14ac:dyDescent="0.25">
      <c r="A3" s="4"/>
      <c r="B3" t="s">
        <v>17</v>
      </c>
      <c r="C3" s="5">
        <v>100</v>
      </c>
      <c r="E3" s="4"/>
      <c r="F3" t="s">
        <v>17</v>
      </c>
      <c r="G3" s="5">
        <v>125</v>
      </c>
      <c r="I3" s="4"/>
      <c r="J3" t="s">
        <v>17</v>
      </c>
      <c r="K3" s="5">
        <v>140</v>
      </c>
      <c r="M3" s="4"/>
      <c r="N3" t="s">
        <v>17</v>
      </c>
      <c r="O3" s="5">
        <v>125</v>
      </c>
      <c r="Q3" s="4"/>
      <c r="R3" t="s">
        <v>17</v>
      </c>
      <c r="S3" s="5">
        <v>125</v>
      </c>
      <c r="U3" s="4"/>
      <c r="V3" t="s">
        <v>17</v>
      </c>
      <c r="W3" s="5">
        <v>125</v>
      </c>
      <c r="Y3" s="4"/>
      <c r="Z3" t="s">
        <v>17</v>
      </c>
      <c r="AA3" s="5">
        <v>80</v>
      </c>
    </row>
    <row r="4" spans="1:27" x14ac:dyDescent="0.25">
      <c r="A4" s="4"/>
      <c r="B4" t="s">
        <v>11</v>
      </c>
      <c r="C4" s="5">
        <v>15</v>
      </c>
      <c r="E4" s="4"/>
      <c r="F4" t="s">
        <v>11</v>
      </c>
      <c r="G4" s="5">
        <v>60</v>
      </c>
      <c r="I4" s="4"/>
      <c r="J4" t="s">
        <v>11</v>
      </c>
      <c r="K4" s="5">
        <v>75</v>
      </c>
      <c r="M4" s="4"/>
      <c r="N4" t="s">
        <v>11</v>
      </c>
      <c r="O4" s="5">
        <v>10</v>
      </c>
      <c r="Q4" s="4"/>
      <c r="R4" t="s">
        <v>11</v>
      </c>
      <c r="S4" s="5">
        <v>10</v>
      </c>
      <c r="U4" s="4"/>
      <c r="V4" t="s">
        <v>11</v>
      </c>
      <c r="W4" s="5">
        <v>15</v>
      </c>
      <c r="Y4" s="4"/>
      <c r="Z4" t="s">
        <v>11</v>
      </c>
      <c r="AA4" s="5">
        <v>20</v>
      </c>
    </row>
    <row r="5" spans="1:27" x14ac:dyDescent="0.25">
      <c r="A5" s="4"/>
      <c r="B5" t="s">
        <v>12</v>
      </c>
      <c r="C5" s="5">
        <v>20</v>
      </c>
      <c r="E5" s="4"/>
      <c r="F5" t="s">
        <v>12</v>
      </c>
      <c r="G5" s="5">
        <v>20</v>
      </c>
      <c r="I5" s="4"/>
      <c r="J5" t="s">
        <v>12</v>
      </c>
      <c r="K5" s="5">
        <v>25</v>
      </c>
      <c r="M5" s="4"/>
      <c r="N5" t="s">
        <v>12</v>
      </c>
      <c r="O5" s="5">
        <v>10</v>
      </c>
      <c r="Q5" s="4"/>
      <c r="R5" t="s">
        <v>12</v>
      </c>
      <c r="S5" s="5">
        <v>10</v>
      </c>
      <c r="U5" s="4"/>
      <c r="V5" t="s">
        <v>12</v>
      </c>
      <c r="W5" s="5">
        <v>20</v>
      </c>
      <c r="Y5" s="4"/>
      <c r="Z5" t="s">
        <v>12</v>
      </c>
      <c r="AA5" s="5">
        <v>10</v>
      </c>
    </row>
    <row r="6" spans="1:27" x14ac:dyDescent="0.25">
      <c r="A6" s="4"/>
      <c r="B6" t="s">
        <v>23</v>
      </c>
      <c r="C6" s="5">
        <v>15</v>
      </c>
      <c r="E6" s="4"/>
      <c r="F6" t="s">
        <v>23</v>
      </c>
      <c r="G6" s="5">
        <v>15</v>
      </c>
      <c r="I6" s="4"/>
      <c r="J6" t="s">
        <v>23</v>
      </c>
      <c r="K6" s="5">
        <v>5</v>
      </c>
      <c r="M6" s="4"/>
      <c r="N6" t="s">
        <v>23</v>
      </c>
      <c r="O6" s="5">
        <v>7</v>
      </c>
      <c r="Q6" s="4"/>
      <c r="R6" t="s">
        <v>23</v>
      </c>
      <c r="S6" s="5">
        <v>7</v>
      </c>
      <c r="U6" s="4"/>
      <c r="V6" t="s">
        <v>23</v>
      </c>
      <c r="W6" s="5">
        <v>15</v>
      </c>
      <c r="Y6" s="4"/>
      <c r="Z6" t="s">
        <v>23</v>
      </c>
      <c r="AA6" s="5">
        <v>15</v>
      </c>
    </row>
    <row r="7" spans="1:27" x14ac:dyDescent="0.25">
      <c r="A7" s="4"/>
      <c r="B7" t="s">
        <v>35</v>
      </c>
      <c r="C7" s="5" t="s">
        <v>37</v>
      </c>
      <c r="E7" s="4"/>
      <c r="F7" t="s">
        <v>35</v>
      </c>
      <c r="G7" s="5" t="s">
        <v>38</v>
      </c>
      <c r="I7" s="4"/>
      <c r="J7" t="s">
        <v>35</v>
      </c>
      <c r="K7" s="5" t="s">
        <v>38</v>
      </c>
      <c r="M7" s="4"/>
      <c r="N7" t="s">
        <v>35</v>
      </c>
      <c r="O7" s="5" t="s">
        <v>37</v>
      </c>
      <c r="Q7" s="4"/>
      <c r="R7" t="s">
        <v>35</v>
      </c>
      <c r="S7" s="5" t="s">
        <v>37</v>
      </c>
      <c r="U7" s="4"/>
      <c r="V7" t="s">
        <v>35</v>
      </c>
      <c r="W7" s="5" t="s">
        <v>38</v>
      </c>
      <c r="Y7" s="4"/>
      <c r="Z7" t="s">
        <v>35</v>
      </c>
      <c r="AA7" s="5" t="s">
        <v>37</v>
      </c>
    </row>
    <row r="8" spans="1:27" x14ac:dyDescent="0.25">
      <c r="A8" s="4"/>
      <c r="B8" t="s">
        <v>36</v>
      </c>
      <c r="C8" s="5" t="s">
        <v>38</v>
      </c>
      <c r="E8" s="4"/>
      <c r="F8" t="s">
        <v>36</v>
      </c>
      <c r="G8" s="5" t="s">
        <v>37</v>
      </c>
      <c r="I8" s="4"/>
      <c r="J8" t="s">
        <v>36</v>
      </c>
      <c r="K8" s="5" t="s">
        <v>37</v>
      </c>
      <c r="M8" s="4"/>
      <c r="N8" t="s">
        <v>36</v>
      </c>
      <c r="O8" s="5" t="s">
        <v>38</v>
      </c>
      <c r="Q8" s="4"/>
      <c r="R8" t="s">
        <v>36</v>
      </c>
      <c r="S8" s="5" t="s">
        <v>38</v>
      </c>
      <c r="U8" s="4"/>
      <c r="V8" t="s">
        <v>36</v>
      </c>
      <c r="W8" s="5" t="s">
        <v>37</v>
      </c>
      <c r="Y8" s="4"/>
      <c r="Z8" t="s">
        <v>36</v>
      </c>
      <c r="AA8" s="5" t="s">
        <v>38</v>
      </c>
    </row>
    <row r="9" spans="1:27" x14ac:dyDescent="0.25">
      <c r="A9" s="4"/>
      <c r="C9" s="5"/>
      <c r="E9" s="4"/>
      <c r="G9" s="5"/>
      <c r="I9" s="4"/>
      <c r="K9" s="5"/>
      <c r="M9" s="4"/>
      <c r="O9" s="5"/>
      <c r="Q9" s="4"/>
      <c r="S9" s="5"/>
      <c r="U9" s="4"/>
      <c r="W9" s="5"/>
      <c r="Y9" s="4"/>
      <c r="AA9" s="5"/>
    </row>
    <row r="10" spans="1:27" x14ac:dyDescent="0.25">
      <c r="A10" s="4" t="s">
        <v>21</v>
      </c>
      <c r="B10">
        <v>100.38</v>
      </c>
      <c r="C10" s="5" t="s">
        <v>21</v>
      </c>
      <c r="E10" s="4" t="s">
        <v>21</v>
      </c>
      <c r="F10">
        <v>129.04</v>
      </c>
      <c r="G10" s="5" t="s">
        <v>21</v>
      </c>
      <c r="I10" s="4" t="s">
        <v>21</v>
      </c>
      <c r="J10">
        <v>143.29</v>
      </c>
      <c r="K10" s="5" t="s">
        <v>21</v>
      </c>
      <c r="M10" s="4" t="s">
        <v>21</v>
      </c>
      <c r="N10">
        <v>122.89</v>
      </c>
      <c r="O10" s="5" t="s">
        <v>21</v>
      </c>
      <c r="Q10" s="4" t="s">
        <v>21</v>
      </c>
      <c r="R10">
        <v>121.1</v>
      </c>
      <c r="S10" s="5" t="s">
        <v>21</v>
      </c>
      <c r="U10" s="4" t="s">
        <v>21</v>
      </c>
      <c r="V10">
        <v>123.96</v>
      </c>
      <c r="W10" s="5" t="s">
        <v>21</v>
      </c>
      <c r="Y10" s="4" t="s">
        <v>21</v>
      </c>
      <c r="Z10">
        <v>79.81</v>
      </c>
      <c r="AA10" s="5" t="s">
        <v>21</v>
      </c>
    </row>
    <row r="11" spans="1:27" x14ac:dyDescent="0.25">
      <c r="A11" s="4" t="s">
        <v>18</v>
      </c>
      <c r="B11">
        <v>6.8869999999999996</v>
      </c>
      <c r="C11" s="5" t="s">
        <v>25</v>
      </c>
      <c r="E11" s="4" t="s">
        <v>18</v>
      </c>
      <c r="F11">
        <v>8.3710000000000004</v>
      </c>
      <c r="G11" s="5" t="s">
        <v>25</v>
      </c>
      <c r="I11" s="4" t="s">
        <v>18</v>
      </c>
      <c r="J11">
        <v>8.9420000000000002</v>
      </c>
      <c r="K11" s="5" t="s">
        <v>25</v>
      </c>
      <c r="M11" s="4" t="s">
        <v>18</v>
      </c>
      <c r="N11">
        <v>7.8490000000000002</v>
      </c>
      <c r="O11" s="5" t="s">
        <v>25</v>
      </c>
      <c r="Q11" s="4" t="s">
        <v>18</v>
      </c>
      <c r="R11">
        <v>7.8570000000000002</v>
      </c>
      <c r="S11" s="5" t="s">
        <v>25</v>
      </c>
      <c r="U11" s="4" t="s">
        <v>18</v>
      </c>
      <c r="V11">
        <v>7.9530000000000003</v>
      </c>
      <c r="W11" s="5" t="s">
        <v>25</v>
      </c>
      <c r="Y11" s="4" t="s">
        <v>18</v>
      </c>
      <c r="Z11">
        <v>5.7370000000000001</v>
      </c>
      <c r="AA11" s="5" t="s">
        <v>25</v>
      </c>
    </row>
    <row r="12" spans="1:27" x14ac:dyDescent="0.25">
      <c r="A12" s="4" t="s">
        <v>19</v>
      </c>
      <c r="B12">
        <v>10.829000000000001</v>
      </c>
      <c r="C12" s="5" t="s">
        <v>26</v>
      </c>
      <c r="E12" s="4" t="s">
        <v>19</v>
      </c>
      <c r="F12" s="9" t="s">
        <v>44</v>
      </c>
      <c r="G12" s="5" t="s">
        <v>26</v>
      </c>
      <c r="I12" s="4" t="s">
        <v>19</v>
      </c>
      <c r="J12" s="9" t="s">
        <v>44</v>
      </c>
      <c r="K12" s="5" t="s">
        <v>26</v>
      </c>
      <c r="M12" s="4" t="s">
        <v>19</v>
      </c>
      <c r="N12">
        <v>9.8830799999999996</v>
      </c>
      <c r="O12" s="5" t="s">
        <v>26</v>
      </c>
      <c r="Q12" s="4" t="s">
        <v>19</v>
      </c>
      <c r="R12">
        <v>10.8568</v>
      </c>
      <c r="S12" s="5" t="s">
        <v>26</v>
      </c>
      <c r="U12" s="4" t="s">
        <v>19</v>
      </c>
      <c r="V12" s="9" t="s">
        <v>44</v>
      </c>
      <c r="W12" s="5" t="s">
        <v>26</v>
      </c>
      <c r="Y12" s="4" t="s">
        <v>19</v>
      </c>
      <c r="Z12">
        <v>10.9072</v>
      </c>
      <c r="AA12" s="5" t="s">
        <v>26</v>
      </c>
    </row>
    <row r="13" spans="1:27" x14ac:dyDescent="0.25">
      <c r="A13" s="4" t="s">
        <v>27</v>
      </c>
      <c r="B13">
        <v>1.3919999999999999</v>
      </c>
      <c r="C13" s="5" t="s">
        <v>22</v>
      </c>
      <c r="E13" s="4" t="s">
        <v>27</v>
      </c>
      <c r="F13">
        <v>9.2799999999999994</v>
      </c>
      <c r="G13" s="5" t="s">
        <v>22</v>
      </c>
      <c r="I13" s="4" t="s">
        <v>27</v>
      </c>
      <c r="J13">
        <v>6.008</v>
      </c>
      <c r="K13" s="5" t="s">
        <v>22</v>
      </c>
      <c r="M13" s="4" t="s">
        <v>27</v>
      </c>
      <c r="N13">
        <v>0.68899999999999995</v>
      </c>
      <c r="O13" s="5" t="s">
        <v>22</v>
      </c>
      <c r="Q13" s="4" t="s">
        <v>27</v>
      </c>
      <c r="R13">
        <v>0.55600000000000005</v>
      </c>
      <c r="S13" s="5" t="s">
        <v>22</v>
      </c>
      <c r="U13" s="4" t="s">
        <v>27</v>
      </c>
      <c r="V13">
        <v>3.839</v>
      </c>
      <c r="W13" s="5" t="s">
        <v>22</v>
      </c>
      <c r="Y13" s="4" t="s">
        <v>27</v>
      </c>
      <c r="Z13">
        <v>0.63100000000000001</v>
      </c>
      <c r="AA13" s="5" t="s">
        <v>22</v>
      </c>
    </row>
    <row r="14" spans="1:27" x14ac:dyDescent="0.25">
      <c r="A14" s="4" t="s">
        <v>28</v>
      </c>
      <c r="B14">
        <v>0.17100000000000001</v>
      </c>
      <c r="C14" s="5" t="s">
        <v>20</v>
      </c>
      <c r="E14" s="4" t="s">
        <v>28</v>
      </c>
      <c r="F14">
        <v>1.1100000000000001</v>
      </c>
      <c r="G14" s="5" t="s">
        <v>20</v>
      </c>
      <c r="I14" s="4" t="s">
        <v>28</v>
      </c>
      <c r="J14">
        <v>0.75</v>
      </c>
      <c r="K14" s="5" t="s">
        <v>20</v>
      </c>
      <c r="M14" s="4" t="s">
        <v>28</v>
      </c>
      <c r="N14">
        <v>6.6000000000000003E-2</v>
      </c>
      <c r="O14" s="5" t="s">
        <v>20</v>
      </c>
      <c r="Q14" s="4" t="s">
        <v>28</v>
      </c>
      <c r="R14">
        <v>6.0000000000000001E-3</v>
      </c>
      <c r="S14" s="5" t="s">
        <v>20</v>
      </c>
      <c r="U14" s="4" t="s">
        <v>28</v>
      </c>
      <c r="V14">
        <v>0.32100000000000001</v>
      </c>
      <c r="W14" s="5" t="s">
        <v>20</v>
      </c>
      <c r="Y14" s="4" t="s">
        <v>28</v>
      </c>
      <c r="Z14">
        <v>5.8000000000000003E-2</v>
      </c>
      <c r="AA14" s="5" t="s">
        <v>20</v>
      </c>
    </row>
    <row r="15" spans="1:27" x14ac:dyDescent="0.25">
      <c r="A15" s="4" t="s">
        <v>24</v>
      </c>
      <c r="B15">
        <v>14.748900000000001</v>
      </c>
      <c r="C15" s="5" t="s">
        <v>24</v>
      </c>
      <c r="E15" s="4" t="s">
        <v>24</v>
      </c>
      <c r="F15">
        <v>14.757400000000001</v>
      </c>
      <c r="G15" s="5" t="s">
        <v>24</v>
      </c>
      <c r="I15" s="4" t="s">
        <v>24</v>
      </c>
      <c r="J15">
        <v>4.9668900000000002</v>
      </c>
      <c r="K15" s="5" t="s">
        <v>24</v>
      </c>
      <c r="M15" s="4" t="s">
        <v>24</v>
      </c>
      <c r="N15" s="9" t="s">
        <v>44</v>
      </c>
      <c r="O15" s="5" t="s">
        <v>24</v>
      </c>
      <c r="Q15" s="4" t="s">
        <v>24</v>
      </c>
      <c r="R15" s="9" t="s">
        <v>44</v>
      </c>
      <c r="S15" s="5" t="s">
        <v>24</v>
      </c>
      <c r="U15" s="4" t="s">
        <v>24</v>
      </c>
      <c r="V15">
        <v>14.7658</v>
      </c>
      <c r="W15" s="5" t="s">
        <v>24</v>
      </c>
      <c r="Y15" s="4" t="s">
        <v>24</v>
      </c>
      <c r="Z15">
        <v>14.7813</v>
      </c>
      <c r="AA15" s="5" t="s">
        <v>24</v>
      </c>
    </row>
    <row r="16" spans="1:27" x14ac:dyDescent="0.25">
      <c r="A16" s="4"/>
      <c r="C16" s="5"/>
      <c r="E16" s="4"/>
      <c r="G16" s="5"/>
      <c r="I16" s="4"/>
      <c r="K16" s="5"/>
      <c r="M16" s="4"/>
      <c r="O16" s="5"/>
      <c r="Q16" s="4"/>
      <c r="S16" s="5"/>
      <c r="U16" s="4"/>
      <c r="W16" s="5"/>
      <c r="Y16" s="4"/>
      <c r="AA16" s="5"/>
    </row>
    <row r="17" spans="1:27" x14ac:dyDescent="0.25">
      <c r="A17" s="4" t="s">
        <v>45</v>
      </c>
      <c r="C17" s="5"/>
      <c r="E17" s="4" t="s">
        <v>45</v>
      </c>
      <c r="G17" s="5"/>
      <c r="I17" s="4" t="s">
        <v>45</v>
      </c>
      <c r="K17" s="5"/>
      <c r="M17" s="4" t="s">
        <v>45</v>
      </c>
      <c r="O17" s="5"/>
      <c r="Q17" s="4" t="s">
        <v>45</v>
      </c>
      <c r="S17" s="5"/>
      <c r="U17" s="4" t="s">
        <v>45</v>
      </c>
      <c r="W17" s="5"/>
      <c r="Y17" s="4" t="s">
        <v>45</v>
      </c>
      <c r="AA17" s="5"/>
    </row>
    <row r="18" spans="1:27" x14ac:dyDescent="0.25">
      <c r="A18" s="4" t="s">
        <v>7</v>
      </c>
      <c r="B18">
        <v>14</v>
      </c>
      <c r="C18" s="5" t="s">
        <v>39</v>
      </c>
      <c r="E18" s="4" t="s">
        <v>7</v>
      </c>
      <c r="F18">
        <v>24.7</v>
      </c>
      <c r="G18" s="5" t="s">
        <v>39</v>
      </c>
      <c r="I18" s="4" t="s">
        <v>7</v>
      </c>
      <c r="J18">
        <v>24.7</v>
      </c>
      <c r="K18" s="5" t="s">
        <v>39</v>
      </c>
      <c r="M18" s="4" t="s">
        <v>7</v>
      </c>
      <c r="N18">
        <v>14</v>
      </c>
      <c r="O18" s="5" t="s">
        <v>39</v>
      </c>
      <c r="Q18" s="4" t="s">
        <v>7</v>
      </c>
      <c r="R18">
        <v>14</v>
      </c>
      <c r="S18" s="5" t="s">
        <v>39</v>
      </c>
      <c r="U18" s="4" t="s">
        <v>7</v>
      </c>
      <c r="V18">
        <v>24.7</v>
      </c>
      <c r="W18" s="5" t="s">
        <v>39</v>
      </c>
      <c r="Y18" s="4" t="s">
        <v>7</v>
      </c>
      <c r="Z18">
        <v>14</v>
      </c>
      <c r="AA18" s="5" t="s">
        <v>39</v>
      </c>
    </row>
    <row r="19" spans="1:27" x14ac:dyDescent="0.25">
      <c r="A19" s="4" t="s">
        <v>8</v>
      </c>
      <c r="B19">
        <v>14</v>
      </c>
      <c r="C19" s="5"/>
      <c r="E19" s="4" t="s">
        <v>8</v>
      </c>
      <c r="F19">
        <v>3.3</v>
      </c>
      <c r="G19" s="5"/>
      <c r="I19" s="4" t="s">
        <v>8</v>
      </c>
      <c r="J19">
        <v>3.3</v>
      </c>
      <c r="K19" s="5"/>
      <c r="M19" s="4" t="s">
        <v>8</v>
      </c>
      <c r="N19">
        <v>14</v>
      </c>
      <c r="O19" s="5"/>
      <c r="Q19" s="4" t="s">
        <v>8</v>
      </c>
      <c r="R19">
        <v>14</v>
      </c>
      <c r="S19" s="5"/>
      <c r="U19" s="4" t="s">
        <v>8</v>
      </c>
      <c r="V19">
        <v>3.3</v>
      </c>
      <c r="W19" s="5"/>
      <c r="Y19" s="4" t="s">
        <v>8</v>
      </c>
      <c r="Z19">
        <v>14</v>
      </c>
      <c r="AA19" s="5"/>
    </row>
    <row r="20" spans="1:27" x14ac:dyDescent="0.25">
      <c r="A20" s="4" t="s">
        <v>9</v>
      </c>
      <c r="B20">
        <v>10.7</v>
      </c>
      <c r="C20" s="5"/>
      <c r="E20" s="4" t="s">
        <v>9</v>
      </c>
      <c r="F20">
        <v>10.7</v>
      </c>
      <c r="G20" s="5"/>
      <c r="I20" s="4" t="s">
        <v>9</v>
      </c>
      <c r="J20">
        <v>10.7</v>
      </c>
      <c r="K20" s="5"/>
      <c r="M20" s="4" t="s">
        <v>9</v>
      </c>
      <c r="N20">
        <v>10.7</v>
      </c>
      <c r="O20" s="5"/>
      <c r="Q20" s="4" t="s">
        <v>9</v>
      </c>
      <c r="R20">
        <v>10.7</v>
      </c>
      <c r="S20" s="5"/>
      <c r="U20" s="4" t="s">
        <v>9</v>
      </c>
      <c r="V20">
        <v>10.7</v>
      </c>
      <c r="W20" s="5"/>
      <c r="Y20" s="4" t="s">
        <v>9</v>
      </c>
      <c r="Z20">
        <v>10.7</v>
      </c>
      <c r="AA20" s="5"/>
    </row>
    <row r="21" spans="1:27" x14ac:dyDescent="0.25">
      <c r="A21" s="6" t="s">
        <v>10</v>
      </c>
      <c r="B21" s="7">
        <v>10.7</v>
      </c>
      <c r="C21" s="8"/>
      <c r="E21" s="6" t="s">
        <v>10</v>
      </c>
      <c r="F21" s="7">
        <v>10.7</v>
      </c>
      <c r="G21" s="8"/>
      <c r="I21" s="6" t="s">
        <v>10</v>
      </c>
      <c r="J21" s="7">
        <v>10.7</v>
      </c>
      <c r="K21" s="8"/>
      <c r="M21" s="6" t="s">
        <v>10</v>
      </c>
      <c r="N21" s="7">
        <v>10.7</v>
      </c>
      <c r="O21" s="8"/>
      <c r="Q21" s="6" t="s">
        <v>10</v>
      </c>
      <c r="R21" s="7">
        <v>10.7</v>
      </c>
      <c r="S21" s="8"/>
      <c r="U21" s="6" t="s">
        <v>10</v>
      </c>
      <c r="V21" s="7">
        <v>10.7</v>
      </c>
      <c r="W21" s="8"/>
      <c r="Y21" s="6" t="s">
        <v>10</v>
      </c>
      <c r="Z21" s="7">
        <v>10.7</v>
      </c>
      <c r="AA2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AP83"/>
  <sheetViews>
    <sheetView tabSelected="1" zoomScaleNormal="100" workbookViewId="0">
      <selection activeCell="Q9" sqref="Q9"/>
    </sheetView>
  </sheetViews>
  <sheetFormatPr defaultRowHeight="15" x14ac:dyDescent="0.25"/>
  <cols>
    <col min="1" max="1" width="24.28515625" style="13" customWidth="1"/>
    <col min="2" max="2" width="11.42578125" bestFit="1" customWidth="1"/>
    <col min="3" max="3" width="10.85546875" bestFit="1" customWidth="1"/>
    <col min="4" max="4" width="15.140625" bestFit="1" customWidth="1"/>
    <col min="5" max="5" width="14.140625" bestFit="1" customWidth="1"/>
    <col min="6" max="9" width="14.140625" customWidth="1"/>
    <col min="10" max="10" width="23.140625" customWidth="1"/>
    <col min="13" max="13" width="11.42578125" bestFit="1" customWidth="1"/>
    <col min="14" max="14" width="10.85546875" bestFit="1" customWidth="1"/>
    <col min="15" max="15" width="15.140625" bestFit="1" customWidth="1"/>
    <col min="16" max="16" width="14.140625" bestFit="1" customWidth="1"/>
    <col min="18" max="18" width="11.42578125" bestFit="1" customWidth="1"/>
    <col min="19" max="19" width="11.140625" bestFit="1" customWidth="1"/>
    <col min="20" max="20" width="15.140625" bestFit="1" customWidth="1"/>
    <col min="21" max="21" width="14.140625" bestFit="1" customWidth="1"/>
    <col min="22" max="22" width="14.140625" customWidth="1"/>
    <col min="24" max="24" width="11.42578125" bestFit="1" customWidth="1"/>
    <col min="25" max="25" width="10.85546875" bestFit="1" customWidth="1"/>
    <col min="26" max="26" width="15.140625" bestFit="1" customWidth="1"/>
    <col min="27" max="27" width="14.140625" bestFit="1" customWidth="1"/>
    <col min="29" max="29" width="11.42578125" bestFit="1" customWidth="1"/>
    <col min="30" max="30" width="10.85546875" bestFit="1" customWidth="1"/>
    <col min="31" max="31" width="15.140625" bestFit="1" customWidth="1"/>
    <col min="32" max="32" width="14.140625" bestFit="1" customWidth="1"/>
    <col min="34" max="34" width="11.42578125" bestFit="1" customWidth="1"/>
    <col min="35" max="35" width="10.85546875" bestFit="1" customWidth="1"/>
    <col min="36" max="36" width="15.140625" bestFit="1" customWidth="1"/>
    <col min="37" max="37" width="14.140625" bestFit="1" customWidth="1"/>
    <col min="39" max="39" width="11.42578125" bestFit="1" customWidth="1"/>
    <col min="40" max="40" width="12.42578125" bestFit="1" customWidth="1"/>
    <col min="41" max="41" width="15.140625" bestFit="1" customWidth="1"/>
    <col min="42" max="42" width="14.140625" bestFit="1" customWidth="1"/>
  </cols>
  <sheetData>
    <row r="2" spans="2:42" x14ac:dyDescent="0.25">
      <c r="C2" s="1" t="s">
        <v>16</v>
      </c>
      <c r="D2" s="2" t="s">
        <v>46</v>
      </c>
      <c r="E2" s="3" t="s">
        <v>47</v>
      </c>
      <c r="N2" s="1" t="s">
        <v>29</v>
      </c>
      <c r="O2" s="2" t="s">
        <v>46</v>
      </c>
      <c r="P2" s="3" t="s">
        <v>47</v>
      </c>
      <c r="S2" s="1" t="s">
        <v>41</v>
      </c>
      <c r="T2" s="2" t="s">
        <v>46</v>
      </c>
      <c r="U2" s="3" t="s">
        <v>47</v>
      </c>
      <c r="Y2" s="1" t="s">
        <v>34</v>
      </c>
      <c r="Z2" s="2" t="s">
        <v>46</v>
      </c>
      <c r="AA2" s="3" t="s">
        <v>47</v>
      </c>
      <c r="AD2" s="1" t="s">
        <v>42</v>
      </c>
      <c r="AE2" s="2" t="s">
        <v>46</v>
      </c>
      <c r="AF2" s="3" t="s">
        <v>47</v>
      </c>
      <c r="AI2" s="1" t="s">
        <v>32</v>
      </c>
      <c r="AJ2" s="2" t="s">
        <v>46</v>
      </c>
      <c r="AK2" s="3" t="s">
        <v>47</v>
      </c>
      <c r="AN2" s="1" t="s">
        <v>33</v>
      </c>
      <c r="AO2" s="2" t="s">
        <v>46</v>
      </c>
      <c r="AP2" s="3" t="s">
        <v>48</v>
      </c>
    </row>
    <row r="3" spans="2:42" x14ac:dyDescent="0.25">
      <c r="C3" s="4"/>
      <c r="D3" t="s">
        <v>17</v>
      </c>
      <c r="E3" s="14">
        <v>100</v>
      </c>
      <c r="N3" s="4"/>
      <c r="O3" t="s">
        <v>17</v>
      </c>
      <c r="P3" s="14">
        <v>125</v>
      </c>
      <c r="S3" s="4"/>
      <c r="T3" t="s">
        <v>17</v>
      </c>
      <c r="U3" s="14">
        <v>125</v>
      </c>
      <c r="Y3" s="4"/>
      <c r="Z3" t="s">
        <v>17</v>
      </c>
      <c r="AA3" s="14">
        <v>140</v>
      </c>
      <c r="AD3" s="4"/>
      <c r="AE3" t="s">
        <v>17</v>
      </c>
      <c r="AF3" s="5">
        <v>125</v>
      </c>
      <c r="AI3" s="4"/>
      <c r="AJ3" t="s">
        <v>17</v>
      </c>
      <c r="AK3" s="5">
        <v>125</v>
      </c>
      <c r="AN3" s="4"/>
      <c r="AO3" t="s">
        <v>17</v>
      </c>
      <c r="AP3" s="5">
        <v>80</v>
      </c>
    </row>
    <row r="4" spans="2:42" x14ac:dyDescent="0.25">
      <c r="C4" s="4"/>
      <c r="D4" t="s">
        <v>11</v>
      </c>
      <c r="E4" s="5">
        <v>15</v>
      </c>
      <c r="N4" s="4"/>
      <c r="O4" t="s">
        <v>11</v>
      </c>
      <c r="P4" s="5">
        <v>60</v>
      </c>
      <c r="S4" s="4"/>
      <c r="T4" t="s">
        <v>11</v>
      </c>
      <c r="U4" s="5">
        <v>10</v>
      </c>
      <c r="Y4" s="4"/>
      <c r="Z4" t="s">
        <v>11</v>
      </c>
      <c r="AA4" s="5">
        <v>75</v>
      </c>
      <c r="AD4" s="4"/>
      <c r="AE4" t="s">
        <v>11</v>
      </c>
      <c r="AF4" s="5">
        <v>10</v>
      </c>
      <c r="AI4" s="4"/>
      <c r="AJ4" t="s">
        <v>11</v>
      </c>
      <c r="AK4" s="5">
        <v>15</v>
      </c>
      <c r="AN4" s="4"/>
      <c r="AO4" t="s">
        <v>11</v>
      </c>
      <c r="AP4" s="5">
        <v>20</v>
      </c>
    </row>
    <row r="5" spans="2:42" x14ac:dyDescent="0.25">
      <c r="C5" s="4"/>
      <c r="D5" t="s">
        <v>12</v>
      </c>
      <c r="E5" s="5">
        <v>20</v>
      </c>
      <c r="N5" s="4"/>
      <c r="O5" t="s">
        <v>12</v>
      </c>
      <c r="P5" s="5">
        <v>20</v>
      </c>
      <c r="S5" s="4"/>
      <c r="T5" t="s">
        <v>12</v>
      </c>
      <c r="U5" s="5">
        <v>10</v>
      </c>
      <c r="Y5" s="4"/>
      <c r="Z5" t="s">
        <v>12</v>
      </c>
      <c r="AA5" s="5">
        <v>25</v>
      </c>
      <c r="AD5" s="4"/>
      <c r="AE5" t="s">
        <v>12</v>
      </c>
      <c r="AF5" s="5">
        <v>10</v>
      </c>
      <c r="AI5" s="4"/>
      <c r="AJ5" t="s">
        <v>12</v>
      </c>
      <c r="AK5" s="5">
        <v>20</v>
      </c>
      <c r="AN5" s="4"/>
      <c r="AO5" t="s">
        <v>12</v>
      </c>
      <c r="AP5" s="5">
        <v>10</v>
      </c>
    </row>
    <row r="6" spans="2:42" x14ac:dyDescent="0.25">
      <c r="C6" s="4"/>
      <c r="D6" t="s">
        <v>23</v>
      </c>
      <c r="E6" s="5">
        <v>15</v>
      </c>
      <c r="N6" s="4"/>
      <c r="O6" t="s">
        <v>23</v>
      </c>
      <c r="P6" s="5">
        <v>15</v>
      </c>
      <c r="S6" s="4"/>
      <c r="T6" t="s">
        <v>23</v>
      </c>
      <c r="U6" s="5">
        <v>7</v>
      </c>
      <c r="Y6" s="4"/>
      <c r="Z6" t="s">
        <v>23</v>
      </c>
      <c r="AA6" s="5">
        <v>5</v>
      </c>
      <c r="AD6" s="4"/>
      <c r="AE6" t="s">
        <v>23</v>
      </c>
      <c r="AF6" s="5">
        <v>7</v>
      </c>
      <c r="AI6" s="4"/>
      <c r="AJ6" t="s">
        <v>23</v>
      </c>
      <c r="AK6" s="5">
        <v>15</v>
      </c>
      <c r="AN6" s="4"/>
      <c r="AO6" t="s">
        <v>23</v>
      </c>
      <c r="AP6" s="5">
        <v>15</v>
      </c>
    </row>
    <row r="7" spans="2:42" x14ac:dyDescent="0.25">
      <c r="C7" s="4"/>
      <c r="D7" t="s">
        <v>35</v>
      </c>
      <c r="E7" s="14" t="s">
        <v>37</v>
      </c>
      <c r="N7" s="4"/>
      <c r="O7" t="s">
        <v>35</v>
      </c>
      <c r="P7" s="14" t="s">
        <v>38</v>
      </c>
      <c r="S7" s="4"/>
      <c r="T7" t="s">
        <v>35</v>
      </c>
      <c r="U7" s="14" t="s">
        <v>37</v>
      </c>
      <c r="Y7" s="4"/>
      <c r="Z7" t="s">
        <v>35</v>
      </c>
      <c r="AA7" s="14" t="s">
        <v>38</v>
      </c>
      <c r="AD7" s="4"/>
      <c r="AE7" t="s">
        <v>35</v>
      </c>
      <c r="AF7" s="5" t="s">
        <v>37</v>
      </c>
      <c r="AI7" s="4"/>
      <c r="AJ7" t="s">
        <v>35</v>
      </c>
      <c r="AK7" s="5" t="s">
        <v>38</v>
      </c>
      <c r="AN7" s="4"/>
      <c r="AO7" t="s">
        <v>35</v>
      </c>
      <c r="AP7" s="5" t="s">
        <v>37</v>
      </c>
    </row>
    <row r="8" spans="2:42" x14ac:dyDescent="0.25">
      <c r="C8" s="4"/>
      <c r="D8" t="s">
        <v>36</v>
      </c>
      <c r="E8" s="5" t="s">
        <v>38</v>
      </c>
      <c r="N8" s="4"/>
      <c r="O8" t="s">
        <v>36</v>
      </c>
      <c r="P8" s="5" t="s">
        <v>37</v>
      </c>
      <c r="S8" s="4"/>
      <c r="T8" t="s">
        <v>36</v>
      </c>
      <c r="U8" s="5" t="s">
        <v>38</v>
      </c>
      <c r="Y8" s="4"/>
      <c r="Z8" t="s">
        <v>36</v>
      </c>
      <c r="AA8" s="5" t="s">
        <v>37</v>
      </c>
      <c r="AD8" s="4"/>
      <c r="AE8" t="s">
        <v>36</v>
      </c>
      <c r="AF8" s="5" t="s">
        <v>38</v>
      </c>
      <c r="AI8" s="4"/>
      <c r="AJ8" t="s">
        <v>36</v>
      </c>
      <c r="AK8" s="5" t="s">
        <v>37</v>
      </c>
      <c r="AN8" s="4"/>
      <c r="AO8" t="s">
        <v>36</v>
      </c>
      <c r="AP8" s="5" t="s">
        <v>38</v>
      </c>
    </row>
    <row r="9" spans="2:42" x14ac:dyDescent="0.25">
      <c r="C9" s="4"/>
      <c r="E9" s="5"/>
      <c r="N9" s="4"/>
      <c r="P9" s="5"/>
      <c r="S9" s="4"/>
      <c r="U9" s="5"/>
      <c r="Y9" s="4"/>
      <c r="AA9" s="5"/>
      <c r="AD9" s="4"/>
      <c r="AF9" s="5"/>
      <c r="AI9" s="4"/>
      <c r="AK9" s="5"/>
      <c r="AN9" s="4"/>
      <c r="AP9" s="5"/>
    </row>
    <row r="10" spans="2:42" x14ac:dyDescent="0.25">
      <c r="C10" s="4" t="s">
        <v>63</v>
      </c>
      <c r="E10" s="5"/>
      <c r="I10" t="s">
        <v>64</v>
      </c>
      <c r="N10" s="4"/>
      <c r="P10" s="5"/>
      <c r="S10" s="4"/>
      <c r="U10" s="5"/>
      <c r="Y10" s="4"/>
      <c r="AA10" s="5"/>
      <c r="AD10" s="4"/>
      <c r="AF10" s="5"/>
      <c r="AI10" s="4"/>
      <c r="AK10" s="5"/>
      <c r="AN10" s="4"/>
      <c r="AP10" s="5"/>
    </row>
    <row r="11" spans="2:42" x14ac:dyDescent="0.25">
      <c r="C11" s="4" t="s">
        <v>49</v>
      </c>
      <c r="D11" s="15" t="s">
        <v>50</v>
      </c>
      <c r="E11" s="14" t="s">
        <v>51</v>
      </c>
      <c r="F11" s="15"/>
      <c r="G11" s="15"/>
      <c r="I11" s="4" t="s">
        <v>49</v>
      </c>
      <c r="J11" s="15" t="s">
        <v>50</v>
      </c>
      <c r="K11" s="14" t="s">
        <v>51</v>
      </c>
      <c r="L11" s="15"/>
      <c r="N11" s="4" t="s">
        <v>49</v>
      </c>
      <c r="O11" t="s">
        <v>50</v>
      </c>
      <c r="P11" s="5" t="s">
        <v>72</v>
      </c>
      <c r="S11" s="4" t="s">
        <v>49</v>
      </c>
      <c r="T11" t="s">
        <v>50</v>
      </c>
      <c r="U11" t="s">
        <v>74</v>
      </c>
      <c r="V11" s="5" t="s">
        <v>51</v>
      </c>
      <c r="Y11" s="4" t="s">
        <v>49</v>
      </c>
      <c r="Z11" t="s">
        <v>50</v>
      </c>
      <c r="AA11" s="5" t="s">
        <v>51</v>
      </c>
      <c r="AD11" s="4" t="s">
        <v>49</v>
      </c>
      <c r="AE11" t="s">
        <v>50</v>
      </c>
      <c r="AF11" s="5" t="s">
        <v>51</v>
      </c>
      <c r="AI11" s="4" t="s">
        <v>49</v>
      </c>
      <c r="AJ11" t="s">
        <v>50</v>
      </c>
      <c r="AK11" s="5" t="s">
        <v>51</v>
      </c>
      <c r="AN11" s="4" t="s">
        <v>49</v>
      </c>
      <c r="AO11" t="s">
        <v>50</v>
      </c>
      <c r="AP11" s="5" t="s">
        <v>51</v>
      </c>
    </row>
    <row r="12" spans="2:42" x14ac:dyDescent="0.25">
      <c r="C12" s="4"/>
      <c r="D12" s="9"/>
      <c r="E12" s="10" t="s">
        <v>54</v>
      </c>
      <c r="F12" s="9"/>
      <c r="G12" s="9"/>
      <c r="I12" s="4"/>
      <c r="K12" s="5"/>
      <c r="L12" s="9"/>
      <c r="N12" s="4"/>
      <c r="O12" t="s">
        <v>67</v>
      </c>
      <c r="P12" s="5"/>
      <c r="S12" s="4"/>
      <c r="T12" t="s">
        <v>67</v>
      </c>
      <c r="U12" s="5"/>
      <c r="Y12" s="4"/>
      <c r="Z12" t="s">
        <v>67</v>
      </c>
      <c r="AA12" s="5"/>
      <c r="AD12" s="4"/>
      <c r="AF12" s="5"/>
      <c r="AI12" s="4"/>
      <c r="AK12" s="5"/>
      <c r="AN12" s="4"/>
      <c r="AP12" s="5"/>
    </row>
    <row r="13" spans="2:42" x14ac:dyDescent="0.25">
      <c r="B13">
        <f>B$45+C13</f>
        <v>99.6</v>
      </c>
      <c r="C13" s="4">
        <v>15</v>
      </c>
      <c r="D13" t="s">
        <v>61</v>
      </c>
      <c r="E13" s="5"/>
      <c r="H13">
        <f>H$45+I13</f>
        <v>15.06</v>
      </c>
      <c r="I13" s="4">
        <v>15</v>
      </c>
      <c r="J13" t="s">
        <v>67</v>
      </c>
      <c r="K13" s="5"/>
      <c r="M13">
        <f>M$45+N13</f>
        <v>15.06</v>
      </c>
      <c r="N13" s="4">
        <v>15</v>
      </c>
      <c r="P13" s="5"/>
      <c r="R13">
        <f>R$45+S13</f>
        <v>15.06</v>
      </c>
      <c r="S13" s="4">
        <v>15</v>
      </c>
      <c r="U13" s="5"/>
      <c r="X13">
        <f>X$45+Y13</f>
        <v>15.06</v>
      </c>
      <c r="Y13" s="4">
        <v>15</v>
      </c>
      <c r="AA13" s="5"/>
      <c r="AD13" s="4">
        <v>15</v>
      </c>
      <c r="AF13" s="5"/>
      <c r="AI13" s="4">
        <v>15</v>
      </c>
      <c r="AK13" s="5"/>
      <c r="AN13" s="4">
        <v>15</v>
      </c>
      <c r="AP13" s="5"/>
    </row>
    <row r="14" spans="2:42" x14ac:dyDescent="0.25">
      <c r="B14">
        <f t="shared" ref="B14:B43" si="0">B$45+C14</f>
        <v>99.1</v>
      </c>
      <c r="C14" s="4">
        <v>14.5</v>
      </c>
      <c r="E14" s="5"/>
      <c r="H14">
        <f t="shared" ref="H14:H44" si="1">H$45+I14</f>
        <v>14.56</v>
      </c>
      <c r="I14" s="4">
        <v>14.5</v>
      </c>
      <c r="K14" s="5"/>
      <c r="M14">
        <f t="shared" ref="M14:M44" si="2">M$45+N14</f>
        <v>14.56</v>
      </c>
      <c r="N14" s="4">
        <v>14.5</v>
      </c>
      <c r="P14" s="5"/>
      <c r="R14">
        <f t="shared" ref="R14:R44" si="3">R$45+S14</f>
        <v>14.56</v>
      </c>
      <c r="S14" s="4">
        <v>14.5</v>
      </c>
      <c r="U14" s="5"/>
      <c r="X14">
        <f t="shared" ref="X14:X44" si="4">X$45+Y14</f>
        <v>14.56</v>
      </c>
      <c r="Y14" s="4">
        <v>14.5</v>
      </c>
      <c r="AA14" s="5"/>
      <c r="AD14" s="4">
        <v>14.5</v>
      </c>
      <c r="AF14" s="5"/>
      <c r="AI14" s="4">
        <v>14.5</v>
      </c>
      <c r="AK14" s="5"/>
      <c r="AN14" s="4">
        <v>14.5</v>
      </c>
      <c r="AP14" s="5"/>
    </row>
    <row r="15" spans="2:42" x14ac:dyDescent="0.25">
      <c r="B15">
        <f t="shared" si="0"/>
        <v>98.6</v>
      </c>
      <c r="C15" s="4">
        <v>14</v>
      </c>
      <c r="E15" s="5"/>
      <c r="H15">
        <f t="shared" si="1"/>
        <v>14.06</v>
      </c>
      <c r="I15" s="4">
        <v>14</v>
      </c>
      <c r="K15" s="5"/>
      <c r="M15">
        <f t="shared" si="2"/>
        <v>14.06</v>
      </c>
      <c r="N15" s="4">
        <v>14</v>
      </c>
      <c r="P15" s="5"/>
      <c r="R15">
        <f t="shared" si="3"/>
        <v>14.06</v>
      </c>
      <c r="S15" s="4">
        <v>14</v>
      </c>
      <c r="U15" s="5"/>
      <c r="X15">
        <f t="shared" si="4"/>
        <v>14.06</v>
      </c>
      <c r="Y15" s="4">
        <v>14</v>
      </c>
      <c r="AA15" s="5"/>
      <c r="AD15" s="4">
        <v>14</v>
      </c>
      <c r="AF15" s="5"/>
      <c r="AI15" s="4">
        <v>14</v>
      </c>
      <c r="AK15" s="5"/>
      <c r="AN15" s="4">
        <v>14</v>
      </c>
      <c r="AP15" s="5"/>
    </row>
    <row r="16" spans="2:42" x14ac:dyDescent="0.25">
      <c r="B16">
        <f t="shared" si="0"/>
        <v>98.1</v>
      </c>
      <c r="C16" s="4">
        <v>13.5</v>
      </c>
      <c r="E16" s="5"/>
      <c r="H16">
        <f t="shared" si="1"/>
        <v>13.56</v>
      </c>
      <c r="I16" s="4">
        <v>13.5</v>
      </c>
      <c r="K16" s="5"/>
      <c r="M16">
        <f t="shared" si="2"/>
        <v>13.56</v>
      </c>
      <c r="N16" s="4">
        <v>13.5</v>
      </c>
      <c r="P16" s="5"/>
      <c r="R16">
        <f t="shared" si="3"/>
        <v>13.56</v>
      </c>
      <c r="S16" s="4">
        <v>13.5</v>
      </c>
      <c r="U16" s="5"/>
      <c r="X16">
        <f t="shared" si="4"/>
        <v>13.56</v>
      </c>
      <c r="Y16" s="4">
        <v>13.5</v>
      </c>
      <c r="AA16" s="5"/>
      <c r="AD16" s="4">
        <v>13.5</v>
      </c>
      <c r="AF16" s="5"/>
      <c r="AI16" s="4">
        <v>13.5</v>
      </c>
      <c r="AK16" s="5"/>
      <c r="AN16" s="4">
        <v>13.5</v>
      </c>
      <c r="AP16" s="5"/>
    </row>
    <row r="17" spans="1:42" x14ac:dyDescent="0.25">
      <c r="B17">
        <f t="shared" si="0"/>
        <v>97.6</v>
      </c>
      <c r="C17" s="4">
        <v>13</v>
      </c>
      <c r="E17" s="5"/>
      <c r="H17">
        <f t="shared" si="1"/>
        <v>13.06</v>
      </c>
      <c r="I17" s="4">
        <v>13</v>
      </c>
      <c r="K17" s="5"/>
      <c r="M17">
        <f t="shared" si="2"/>
        <v>13.06</v>
      </c>
      <c r="N17" s="4">
        <v>13</v>
      </c>
      <c r="P17" s="5"/>
      <c r="R17">
        <f t="shared" si="3"/>
        <v>13.06</v>
      </c>
      <c r="S17" s="4">
        <v>13</v>
      </c>
      <c r="U17" s="5"/>
      <c r="X17">
        <f t="shared" si="4"/>
        <v>13.06</v>
      </c>
      <c r="Y17" s="4">
        <v>13</v>
      </c>
      <c r="AA17" s="5"/>
      <c r="AD17" s="4">
        <v>13</v>
      </c>
      <c r="AF17" s="5"/>
      <c r="AI17" s="4">
        <v>13</v>
      </c>
      <c r="AK17" s="5"/>
      <c r="AN17" s="4">
        <v>13</v>
      </c>
      <c r="AP17" s="5"/>
    </row>
    <row r="18" spans="1:42" x14ac:dyDescent="0.25">
      <c r="B18">
        <f t="shared" si="0"/>
        <v>97.1</v>
      </c>
      <c r="C18" s="4">
        <v>12.5</v>
      </c>
      <c r="E18" s="5"/>
      <c r="H18">
        <f t="shared" si="1"/>
        <v>12.56</v>
      </c>
      <c r="I18" s="4">
        <v>12.5</v>
      </c>
      <c r="K18" s="5"/>
      <c r="M18">
        <f t="shared" si="2"/>
        <v>12.56</v>
      </c>
      <c r="N18" s="4">
        <v>12.5</v>
      </c>
      <c r="P18" s="5"/>
      <c r="R18">
        <f t="shared" si="3"/>
        <v>12.56</v>
      </c>
      <c r="S18" s="4">
        <v>12.5</v>
      </c>
      <c r="U18" s="5"/>
      <c r="X18">
        <f t="shared" si="4"/>
        <v>12.56</v>
      </c>
      <c r="Y18" s="4">
        <v>12.5</v>
      </c>
      <c r="AA18" s="5"/>
      <c r="AD18" s="4">
        <v>12.5</v>
      </c>
      <c r="AF18" s="5"/>
      <c r="AI18" s="4">
        <v>12.5</v>
      </c>
      <c r="AK18" s="5"/>
      <c r="AN18" s="4">
        <v>12.5</v>
      </c>
      <c r="AP18" s="5"/>
    </row>
    <row r="19" spans="1:42" x14ac:dyDescent="0.25">
      <c r="B19">
        <f t="shared" si="0"/>
        <v>96.6</v>
      </c>
      <c r="C19" s="4">
        <v>12</v>
      </c>
      <c r="E19" s="5"/>
      <c r="H19">
        <f t="shared" si="1"/>
        <v>12.06</v>
      </c>
      <c r="I19" s="4">
        <v>12</v>
      </c>
      <c r="K19" s="5"/>
      <c r="M19">
        <f t="shared" si="2"/>
        <v>12.06</v>
      </c>
      <c r="N19" s="4">
        <v>12</v>
      </c>
      <c r="P19" s="5"/>
      <c r="R19">
        <f t="shared" si="3"/>
        <v>12.06</v>
      </c>
      <c r="S19" s="4">
        <v>12</v>
      </c>
      <c r="U19" s="5"/>
      <c r="X19">
        <f t="shared" si="4"/>
        <v>12.06</v>
      </c>
      <c r="Y19" s="4">
        <v>12</v>
      </c>
      <c r="AA19" s="5"/>
      <c r="AD19" s="4">
        <v>12</v>
      </c>
      <c r="AF19" s="5"/>
      <c r="AI19" s="4">
        <v>12</v>
      </c>
      <c r="AK19" s="5"/>
      <c r="AN19" s="4">
        <v>12</v>
      </c>
      <c r="AP19" s="5"/>
    </row>
    <row r="20" spans="1:42" x14ac:dyDescent="0.25">
      <c r="B20">
        <f t="shared" si="0"/>
        <v>96.1</v>
      </c>
      <c r="C20" s="4">
        <v>11.5</v>
      </c>
      <c r="E20" s="5"/>
      <c r="H20">
        <f t="shared" si="1"/>
        <v>11.56</v>
      </c>
      <c r="I20" s="4">
        <v>11.5</v>
      </c>
      <c r="K20" s="5"/>
      <c r="M20">
        <f t="shared" si="2"/>
        <v>11.56</v>
      </c>
      <c r="N20" s="4">
        <v>11.5</v>
      </c>
      <c r="P20" s="5"/>
      <c r="R20">
        <f t="shared" si="3"/>
        <v>11.56</v>
      </c>
      <c r="S20" s="4">
        <v>11.5</v>
      </c>
      <c r="U20" s="5"/>
      <c r="X20">
        <f t="shared" si="4"/>
        <v>11.56</v>
      </c>
      <c r="Y20" s="4">
        <v>11.5</v>
      </c>
      <c r="AA20" s="5"/>
      <c r="AD20" s="4">
        <v>11.5</v>
      </c>
      <c r="AF20" s="5"/>
      <c r="AI20" s="4">
        <v>11.5</v>
      </c>
      <c r="AK20" s="5"/>
      <c r="AN20" s="4">
        <v>11.5</v>
      </c>
      <c r="AP20" s="5"/>
    </row>
    <row r="21" spans="1:42" x14ac:dyDescent="0.25">
      <c r="B21">
        <f t="shared" si="0"/>
        <v>95.6</v>
      </c>
      <c r="C21" s="4">
        <v>11</v>
      </c>
      <c r="E21" s="5"/>
      <c r="H21">
        <f t="shared" si="1"/>
        <v>11.06</v>
      </c>
      <c r="I21" s="4">
        <v>11</v>
      </c>
      <c r="J21" t="s">
        <v>69</v>
      </c>
      <c r="K21" s="5"/>
      <c r="M21">
        <f t="shared" si="2"/>
        <v>11.06</v>
      </c>
      <c r="N21" s="4">
        <v>11</v>
      </c>
      <c r="P21" s="5"/>
      <c r="R21">
        <f t="shared" si="3"/>
        <v>11.06</v>
      </c>
      <c r="S21" s="4">
        <v>11</v>
      </c>
      <c r="U21" s="5"/>
      <c r="X21">
        <f t="shared" si="4"/>
        <v>11.06</v>
      </c>
      <c r="Y21" s="4">
        <v>11</v>
      </c>
      <c r="AA21" s="5"/>
      <c r="AD21" s="4">
        <v>11</v>
      </c>
      <c r="AF21" s="5"/>
      <c r="AI21" s="4">
        <v>11</v>
      </c>
      <c r="AK21" s="5"/>
      <c r="AN21" s="4">
        <v>11</v>
      </c>
      <c r="AP21" s="5"/>
    </row>
    <row r="22" spans="1:42" x14ac:dyDescent="0.25">
      <c r="B22">
        <f t="shared" si="0"/>
        <v>95.1</v>
      </c>
      <c r="C22" s="4">
        <v>10.5</v>
      </c>
      <c r="E22" s="5"/>
      <c r="H22">
        <f t="shared" si="1"/>
        <v>10.56</v>
      </c>
      <c r="I22" s="4">
        <v>10.5</v>
      </c>
      <c r="K22" s="5"/>
      <c r="M22">
        <f t="shared" si="2"/>
        <v>10.56</v>
      </c>
      <c r="N22" s="4">
        <v>10.5</v>
      </c>
      <c r="P22" s="5"/>
      <c r="R22">
        <f t="shared" si="3"/>
        <v>10.56</v>
      </c>
      <c r="S22" s="4">
        <v>10.5</v>
      </c>
      <c r="T22">
        <v>186</v>
      </c>
      <c r="U22" s="5">
        <v>10.78</v>
      </c>
      <c r="X22">
        <f t="shared" si="4"/>
        <v>10.56</v>
      </c>
      <c r="Y22" s="4">
        <v>10.5</v>
      </c>
      <c r="Z22">
        <v>1687</v>
      </c>
      <c r="AA22" s="5">
        <v>8.4770000000000003</v>
      </c>
      <c r="AD22" s="4">
        <v>10.5</v>
      </c>
      <c r="AF22" s="5"/>
      <c r="AI22" s="4">
        <v>10.5</v>
      </c>
      <c r="AK22" s="5"/>
      <c r="AN22" s="4">
        <v>10.5</v>
      </c>
      <c r="AP22" s="5"/>
    </row>
    <row r="23" spans="1:42" x14ac:dyDescent="0.25">
      <c r="B23">
        <f t="shared" si="0"/>
        <v>94.6</v>
      </c>
      <c r="C23" s="4">
        <v>10</v>
      </c>
      <c r="D23" t="s">
        <v>60</v>
      </c>
      <c r="E23" s="5"/>
      <c r="H23">
        <f t="shared" si="1"/>
        <v>10.06</v>
      </c>
      <c r="I23" s="4">
        <v>10</v>
      </c>
      <c r="J23">
        <v>67.61</v>
      </c>
      <c r="K23" s="5">
        <v>30.54</v>
      </c>
      <c r="M23">
        <f t="shared" si="2"/>
        <v>10.06</v>
      </c>
      <c r="N23" s="4">
        <v>10</v>
      </c>
      <c r="O23">
        <v>1008</v>
      </c>
      <c r="P23" s="5">
        <v>7.891</v>
      </c>
      <c r="R23">
        <f t="shared" si="3"/>
        <v>10.06</v>
      </c>
      <c r="S23" s="4">
        <v>10</v>
      </c>
      <c r="T23">
        <v>196.3</v>
      </c>
      <c r="U23" s="5">
        <v>10.67</v>
      </c>
      <c r="X23">
        <f t="shared" si="4"/>
        <v>10.06</v>
      </c>
      <c r="Y23" s="4">
        <v>10</v>
      </c>
      <c r="Z23">
        <v>1695</v>
      </c>
      <c r="AA23" s="5">
        <v>8.5510000000000002</v>
      </c>
      <c r="AD23" s="4">
        <v>10</v>
      </c>
      <c r="AF23" s="5"/>
      <c r="AI23" s="4">
        <v>10</v>
      </c>
      <c r="AK23" s="5"/>
      <c r="AN23" s="4">
        <v>10</v>
      </c>
      <c r="AP23" s="5"/>
    </row>
    <row r="24" spans="1:42" x14ac:dyDescent="0.25">
      <c r="B24">
        <f t="shared" si="0"/>
        <v>94.1</v>
      </c>
      <c r="C24" s="4">
        <v>9.5</v>
      </c>
      <c r="D24">
        <v>251.7</v>
      </c>
      <c r="E24" s="5"/>
      <c r="H24">
        <f t="shared" si="1"/>
        <v>9.56</v>
      </c>
      <c r="I24" s="4">
        <v>9.5</v>
      </c>
      <c r="K24" s="5"/>
      <c r="M24">
        <f t="shared" si="2"/>
        <v>9.56</v>
      </c>
      <c r="N24" s="4">
        <v>9.5</v>
      </c>
      <c r="P24" s="5"/>
      <c r="R24">
        <f t="shared" si="3"/>
        <v>9.56</v>
      </c>
      <c r="S24" s="4">
        <v>9.5</v>
      </c>
      <c r="U24" s="5"/>
      <c r="X24">
        <f t="shared" si="4"/>
        <v>9.56</v>
      </c>
      <c r="Y24" s="4">
        <v>9.5</v>
      </c>
      <c r="AA24" s="5"/>
      <c r="AD24" s="4">
        <v>9.5</v>
      </c>
      <c r="AF24" s="5"/>
      <c r="AI24" s="4">
        <v>9.5</v>
      </c>
      <c r="AK24" s="5"/>
      <c r="AN24" s="4">
        <v>9.5</v>
      </c>
      <c r="AP24" s="5"/>
    </row>
    <row r="25" spans="1:42" x14ac:dyDescent="0.25">
      <c r="B25">
        <f t="shared" si="0"/>
        <v>93.6</v>
      </c>
      <c r="C25" s="4">
        <v>9</v>
      </c>
      <c r="D25">
        <v>202.8</v>
      </c>
      <c r="E25" s="5">
        <v>9</v>
      </c>
      <c r="H25">
        <f t="shared" si="1"/>
        <v>9.06</v>
      </c>
      <c r="I25" s="4">
        <v>9</v>
      </c>
      <c r="J25">
        <v>79.31</v>
      </c>
      <c r="K25" s="5">
        <v>22.48</v>
      </c>
      <c r="M25">
        <f t="shared" si="2"/>
        <v>9.06</v>
      </c>
      <c r="N25" s="4">
        <v>9</v>
      </c>
      <c r="P25" s="5"/>
      <c r="R25">
        <f t="shared" si="3"/>
        <v>9.06</v>
      </c>
      <c r="S25" s="4">
        <v>9</v>
      </c>
      <c r="T25">
        <v>221.6</v>
      </c>
      <c r="U25" s="5">
        <v>10.680999999999999</v>
      </c>
      <c r="X25">
        <f t="shared" si="4"/>
        <v>9.06</v>
      </c>
      <c r="Y25" s="4">
        <v>9</v>
      </c>
      <c r="AA25" s="5"/>
      <c r="AD25" s="4">
        <v>9</v>
      </c>
      <c r="AF25" s="5"/>
      <c r="AI25" s="4">
        <v>9</v>
      </c>
      <c r="AK25" s="5"/>
      <c r="AN25" s="4">
        <v>9</v>
      </c>
      <c r="AP25" s="5"/>
    </row>
    <row r="26" spans="1:42" x14ac:dyDescent="0.25">
      <c r="B26">
        <f t="shared" si="0"/>
        <v>93.35</v>
      </c>
      <c r="C26" s="4">
        <v>8.75</v>
      </c>
      <c r="D26">
        <v>367.3</v>
      </c>
      <c r="E26" s="5"/>
      <c r="H26">
        <f t="shared" si="1"/>
        <v>8.81</v>
      </c>
      <c r="I26" s="4">
        <v>8.75</v>
      </c>
      <c r="K26" s="5"/>
      <c r="M26">
        <f t="shared" si="2"/>
        <v>0.06</v>
      </c>
      <c r="N26" s="4"/>
      <c r="P26" s="5"/>
      <c r="R26">
        <f t="shared" si="3"/>
        <v>0.06</v>
      </c>
      <c r="S26" s="4"/>
      <c r="U26" s="5"/>
      <c r="X26">
        <f t="shared" si="4"/>
        <v>0.06</v>
      </c>
      <c r="Y26" s="4"/>
      <c r="AA26" s="5"/>
      <c r="AD26" s="4"/>
      <c r="AF26" s="5"/>
      <c r="AI26" s="4"/>
      <c r="AK26" s="5"/>
      <c r="AN26" s="4"/>
      <c r="AP26" s="5"/>
    </row>
    <row r="27" spans="1:42" x14ac:dyDescent="0.25">
      <c r="A27" s="13" t="e">
        <f>A$45+C27</f>
        <v>#VALUE!</v>
      </c>
      <c r="B27">
        <f t="shared" si="0"/>
        <v>93.1</v>
      </c>
      <c r="C27" s="4">
        <v>8.5</v>
      </c>
      <c r="D27">
        <v>418</v>
      </c>
      <c r="E27" s="5">
        <v>17.25</v>
      </c>
      <c r="H27">
        <f t="shared" si="1"/>
        <v>8.56</v>
      </c>
      <c r="I27" s="4">
        <v>8.5</v>
      </c>
      <c r="J27">
        <v>93.62</v>
      </c>
      <c r="K27" s="5">
        <v>19.600000000000001</v>
      </c>
      <c r="M27">
        <f t="shared" si="2"/>
        <v>8.56</v>
      </c>
      <c r="N27" s="4">
        <v>8.5</v>
      </c>
      <c r="P27" s="5"/>
      <c r="R27">
        <f t="shared" si="3"/>
        <v>8.56</v>
      </c>
      <c r="S27" s="4">
        <v>8.5</v>
      </c>
      <c r="U27" s="5"/>
      <c r="X27">
        <f t="shared" si="4"/>
        <v>8.56</v>
      </c>
      <c r="Y27" s="4">
        <v>8.5</v>
      </c>
      <c r="AA27" s="5"/>
      <c r="AD27" s="4">
        <v>8.5</v>
      </c>
      <c r="AF27" s="5"/>
      <c r="AI27" s="4">
        <v>8.5</v>
      </c>
      <c r="AK27" s="5"/>
      <c r="AN27" s="4">
        <v>8.5</v>
      </c>
      <c r="AP27" s="5"/>
    </row>
    <row r="28" spans="1:42" x14ac:dyDescent="0.25">
      <c r="B28">
        <f t="shared" si="0"/>
        <v>92.85</v>
      </c>
      <c r="C28" s="4">
        <v>8.25</v>
      </c>
      <c r="D28">
        <v>434</v>
      </c>
      <c r="E28" s="5">
        <v>12.28</v>
      </c>
      <c r="H28">
        <f t="shared" si="1"/>
        <v>8.31</v>
      </c>
      <c r="I28" s="4">
        <v>8.25</v>
      </c>
      <c r="K28" s="5"/>
      <c r="M28">
        <f t="shared" si="2"/>
        <v>0.06</v>
      </c>
      <c r="N28" s="4"/>
      <c r="P28" s="5"/>
      <c r="R28">
        <f t="shared" si="3"/>
        <v>0.06</v>
      </c>
      <c r="S28" s="4"/>
      <c r="U28" s="5"/>
      <c r="X28">
        <f t="shared" si="4"/>
        <v>0.06</v>
      </c>
      <c r="Y28" s="4"/>
      <c r="AA28" s="5"/>
      <c r="AD28" s="4"/>
      <c r="AF28" s="5"/>
      <c r="AI28" s="4"/>
      <c r="AK28" s="5"/>
      <c r="AN28" s="4"/>
      <c r="AP28" s="5"/>
    </row>
    <row r="29" spans="1:42" x14ac:dyDescent="0.25">
      <c r="B29">
        <f t="shared" si="0"/>
        <v>92.6</v>
      </c>
      <c r="C29" s="4">
        <v>8</v>
      </c>
      <c r="D29">
        <v>457.9</v>
      </c>
      <c r="E29" s="5">
        <v>9.2569999999999997</v>
      </c>
      <c r="H29">
        <f t="shared" si="1"/>
        <v>8.06</v>
      </c>
      <c r="I29" s="4">
        <v>8</v>
      </c>
      <c r="J29">
        <v>124</v>
      </c>
      <c r="K29" s="5">
        <v>25.85</v>
      </c>
      <c r="M29">
        <f t="shared" si="2"/>
        <v>8.06</v>
      </c>
      <c r="N29" s="4">
        <v>8</v>
      </c>
      <c r="O29">
        <v>1007</v>
      </c>
      <c r="P29" s="5">
        <v>8.17</v>
      </c>
      <c r="R29">
        <f t="shared" si="3"/>
        <v>8.06</v>
      </c>
      <c r="S29" s="4">
        <v>8</v>
      </c>
      <c r="T29">
        <v>329.4</v>
      </c>
      <c r="U29" s="5">
        <v>10.101000000000001</v>
      </c>
      <c r="X29">
        <f t="shared" si="4"/>
        <v>8.06</v>
      </c>
      <c r="Y29" s="4">
        <v>8</v>
      </c>
      <c r="Z29">
        <v>1704</v>
      </c>
      <c r="AA29" s="5">
        <v>8.5920000000000005</v>
      </c>
      <c r="AD29" s="4">
        <v>8</v>
      </c>
      <c r="AF29" s="5"/>
      <c r="AI29" s="4">
        <v>8</v>
      </c>
      <c r="AK29" s="5"/>
      <c r="AN29" s="4">
        <v>8</v>
      </c>
      <c r="AP29" s="5"/>
    </row>
    <row r="30" spans="1:42" x14ac:dyDescent="0.25">
      <c r="B30">
        <f t="shared" si="0"/>
        <v>92.1</v>
      </c>
      <c r="C30" s="4">
        <v>7.5</v>
      </c>
      <c r="E30" s="5"/>
      <c r="H30">
        <f t="shared" si="1"/>
        <v>7.56</v>
      </c>
      <c r="I30" s="4">
        <v>7.5</v>
      </c>
      <c r="K30" s="5"/>
      <c r="M30">
        <f t="shared" si="2"/>
        <v>7.56</v>
      </c>
      <c r="N30" s="4">
        <v>7.5</v>
      </c>
      <c r="P30" s="5"/>
      <c r="R30">
        <f t="shared" si="3"/>
        <v>7.56</v>
      </c>
      <c r="S30" s="4">
        <v>7.5</v>
      </c>
      <c r="U30" s="5"/>
      <c r="X30">
        <f t="shared" si="4"/>
        <v>7.56</v>
      </c>
      <c r="Y30" s="4">
        <v>7.5</v>
      </c>
      <c r="AA30" s="5"/>
      <c r="AD30" s="4">
        <v>7.5</v>
      </c>
      <c r="AF30" s="5"/>
      <c r="AI30" s="4">
        <v>7.5</v>
      </c>
      <c r="AK30" s="5"/>
      <c r="AN30" s="4">
        <v>7.5</v>
      </c>
      <c r="AP30" s="5"/>
    </row>
    <row r="31" spans="1:42" x14ac:dyDescent="0.25">
      <c r="B31">
        <f t="shared" si="0"/>
        <v>91.6</v>
      </c>
      <c r="C31" s="4">
        <v>7</v>
      </c>
      <c r="D31">
        <v>458.3</v>
      </c>
      <c r="E31" s="5">
        <v>10.09</v>
      </c>
      <c r="H31">
        <f t="shared" si="1"/>
        <v>7.06</v>
      </c>
      <c r="I31" s="4">
        <v>7</v>
      </c>
      <c r="J31">
        <v>200.7</v>
      </c>
      <c r="K31" s="5">
        <v>16.11</v>
      </c>
      <c r="M31">
        <f t="shared" si="2"/>
        <v>7.06</v>
      </c>
      <c r="N31" s="4">
        <v>7</v>
      </c>
      <c r="P31" s="5"/>
      <c r="R31">
        <f t="shared" si="3"/>
        <v>7.06</v>
      </c>
      <c r="S31" s="4">
        <v>7</v>
      </c>
      <c r="T31">
        <v>501.2</v>
      </c>
      <c r="U31" s="5">
        <v>9.641</v>
      </c>
      <c r="X31">
        <f t="shared" si="4"/>
        <v>7.06</v>
      </c>
      <c r="Y31" s="4">
        <v>7</v>
      </c>
      <c r="AA31" s="5"/>
      <c r="AD31" s="4">
        <v>7</v>
      </c>
      <c r="AF31" s="5"/>
      <c r="AI31" s="4">
        <v>7</v>
      </c>
      <c r="AK31" s="5"/>
      <c r="AN31" s="4">
        <v>7</v>
      </c>
      <c r="AP31" s="5"/>
    </row>
    <row r="32" spans="1:42" x14ac:dyDescent="0.25">
      <c r="B32">
        <f t="shared" si="0"/>
        <v>91.1</v>
      </c>
      <c r="C32" s="4">
        <v>6.5</v>
      </c>
      <c r="E32" s="5"/>
      <c r="H32">
        <f t="shared" si="1"/>
        <v>6.56</v>
      </c>
      <c r="I32" s="4">
        <v>6.5</v>
      </c>
      <c r="K32" s="5"/>
      <c r="M32">
        <f t="shared" si="2"/>
        <v>6.56</v>
      </c>
      <c r="N32" s="4">
        <v>6.5</v>
      </c>
      <c r="P32" s="5"/>
      <c r="R32">
        <f t="shared" si="3"/>
        <v>6.56</v>
      </c>
      <c r="S32" s="4">
        <v>6.5</v>
      </c>
      <c r="U32" s="5"/>
      <c r="X32">
        <f t="shared" si="4"/>
        <v>6.56</v>
      </c>
      <c r="Y32" s="4">
        <v>6.5</v>
      </c>
      <c r="AA32" s="5"/>
      <c r="AD32" s="4">
        <v>6.5</v>
      </c>
      <c r="AF32" s="5"/>
      <c r="AI32" s="4">
        <v>6.5</v>
      </c>
      <c r="AK32" s="5"/>
      <c r="AN32" s="4">
        <v>6.5</v>
      </c>
      <c r="AP32" s="5"/>
    </row>
    <row r="33" spans="1:42" x14ac:dyDescent="0.25">
      <c r="B33">
        <f t="shared" si="0"/>
        <v>90.6</v>
      </c>
      <c r="C33" s="4">
        <v>6</v>
      </c>
      <c r="D33">
        <v>465.6</v>
      </c>
      <c r="E33" s="5">
        <v>9.5839999999999996</v>
      </c>
      <c r="H33">
        <f t="shared" si="1"/>
        <v>6.06</v>
      </c>
      <c r="I33" s="4">
        <v>6</v>
      </c>
      <c r="J33">
        <v>256.60000000000002</v>
      </c>
      <c r="K33" s="5">
        <v>16.75</v>
      </c>
      <c r="M33">
        <f t="shared" si="2"/>
        <v>6.06</v>
      </c>
      <c r="N33" s="4">
        <v>6</v>
      </c>
      <c r="O33">
        <v>1029</v>
      </c>
      <c r="P33" s="5">
        <v>7.9050000000000002</v>
      </c>
      <c r="R33">
        <f t="shared" si="3"/>
        <v>6.06</v>
      </c>
      <c r="S33" s="4">
        <v>6</v>
      </c>
      <c r="T33">
        <v>628.9</v>
      </c>
      <c r="U33" s="5">
        <v>9.1460000000000008</v>
      </c>
      <c r="X33">
        <f t="shared" si="4"/>
        <v>6.06</v>
      </c>
      <c r="Y33" s="4">
        <v>6</v>
      </c>
      <c r="Z33">
        <v>1720</v>
      </c>
      <c r="AA33" s="5">
        <v>8.6379999999999999</v>
      </c>
      <c r="AD33" s="4">
        <v>6</v>
      </c>
      <c r="AF33" s="5"/>
      <c r="AI33" s="4">
        <v>6</v>
      </c>
      <c r="AK33" s="5"/>
      <c r="AN33" s="4">
        <v>6</v>
      </c>
      <c r="AP33" s="5"/>
    </row>
    <row r="34" spans="1:42" x14ac:dyDescent="0.25">
      <c r="B34">
        <f t="shared" si="0"/>
        <v>90.1</v>
      </c>
      <c r="C34" s="4">
        <v>5.5</v>
      </c>
      <c r="E34" s="5"/>
      <c r="H34">
        <f t="shared" si="1"/>
        <v>5.56</v>
      </c>
      <c r="I34" s="4">
        <v>5.5</v>
      </c>
      <c r="K34" s="5"/>
      <c r="M34">
        <f t="shared" si="2"/>
        <v>5.56</v>
      </c>
      <c r="N34" s="4">
        <v>5.5</v>
      </c>
      <c r="P34" s="5"/>
      <c r="R34">
        <f t="shared" si="3"/>
        <v>5.56</v>
      </c>
      <c r="S34" s="4">
        <v>5.5</v>
      </c>
      <c r="U34" s="5"/>
      <c r="X34">
        <f t="shared" si="4"/>
        <v>5.56</v>
      </c>
      <c r="Y34" s="4">
        <v>5.5</v>
      </c>
      <c r="AA34" s="5"/>
      <c r="AD34" s="4">
        <v>5.5</v>
      </c>
      <c r="AF34" s="5"/>
      <c r="AI34" s="4">
        <v>5.5</v>
      </c>
      <c r="AK34" s="5"/>
      <c r="AN34" s="4">
        <v>5.5</v>
      </c>
      <c r="AP34" s="5"/>
    </row>
    <row r="35" spans="1:42" x14ac:dyDescent="0.25">
      <c r="B35">
        <f t="shared" si="0"/>
        <v>89.6</v>
      </c>
      <c r="C35" s="4">
        <v>5</v>
      </c>
      <c r="D35">
        <v>462.1</v>
      </c>
      <c r="E35" s="5">
        <v>10.82</v>
      </c>
      <c r="H35">
        <f t="shared" si="1"/>
        <v>5.0599999999999996</v>
      </c>
      <c r="I35" s="4">
        <v>5</v>
      </c>
      <c r="J35">
        <v>312.7</v>
      </c>
      <c r="K35" s="5">
        <v>14.16</v>
      </c>
      <c r="M35">
        <f t="shared" si="2"/>
        <v>5.0599999999999996</v>
      </c>
      <c r="N35" s="4">
        <v>5</v>
      </c>
      <c r="P35" s="5"/>
      <c r="R35">
        <f t="shared" si="3"/>
        <v>5.0599999999999996</v>
      </c>
      <c r="S35" s="4">
        <v>5</v>
      </c>
      <c r="U35" s="5"/>
      <c r="X35">
        <f t="shared" si="4"/>
        <v>5.0599999999999996</v>
      </c>
      <c r="Y35" s="4">
        <v>5</v>
      </c>
      <c r="AA35" s="5"/>
      <c r="AD35" s="4">
        <v>5</v>
      </c>
      <c r="AF35" s="5"/>
      <c r="AI35" s="4">
        <v>5</v>
      </c>
      <c r="AK35" s="5"/>
      <c r="AN35" s="4">
        <v>5</v>
      </c>
      <c r="AP35" s="5"/>
    </row>
    <row r="36" spans="1:42" x14ac:dyDescent="0.25">
      <c r="B36">
        <f t="shared" si="0"/>
        <v>89.1</v>
      </c>
      <c r="C36" s="4">
        <v>4.5</v>
      </c>
      <c r="E36" s="5"/>
      <c r="H36">
        <f t="shared" si="1"/>
        <v>4.5599999999999996</v>
      </c>
      <c r="I36" s="4">
        <v>4.5</v>
      </c>
      <c r="K36" s="5"/>
      <c r="M36">
        <f t="shared" si="2"/>
        <v>4.5599999999999996</v>
      </c>
      <c r="N36" s="4">
        <v>4.5</v>
      </c>
      <c r="P36" s="5"/>
      <c r="R36">
        <f t="shared" si="3"/>
        <v>4.5599999999999996</v>
      </c>
      <c r="S36" s="4">
        <v>4.5</v>
      </c>
      <c r="U36" s="5"/>
      <c r="X36">
        <f t="shared" si="4"/>
        <v>4.5599999999999996</v>
      </c>
      <c r="Y36" s="4">
        <v>4.5</v>
      </c>
      <c r="AA36" s="5"/>
      <c r="AD36" s="4">
        <v>4.5</v>
      </c>
      <c r="AF36" s="5"/>
      <c r="AI36" s="4">
        <v>4.5</v>
      </c>
      <c r="AK36" s="5"/>
      <c r="AN36" s="4">
        <v>4.5</v>
      </c>
      <c r="AP36" s="5"/>
    </row>
    <row r="37" spans="1:42" x14ac:dyDescent="0.25">
      <c r="A37" s="13" t="s">
        <v>58</v>
      </c>
      <c r="B37">
        <f t="shared" si="0"/>
        <v>88.6</v>
      </c>
      <c r="C37" s="4">
        <v>4</v>
      </c>
      <c r="D37">
        <v>453.4</v>
      </c>
      <c r="E37" s="5">
        <v>9.2569999999999997</v>
      </c>
      <c r="H37">
        <f t="shared" si="1"/>
        <v>4.0599999999999996</v>
      </c>
      <c r="I37" s="4">
        <v>4</v>
      </c>
      <c r="J37">
        <v>362</v>
      </c>
      <c r="K37" s="5">
        <v>13.04</v>
      </c>
      <c r="M37">
        <f t="shared" si="2"/>
        <v>4.0599999999999996</v>
      </c>
      <c r="N37" s="4">
        <v>4</v>
      </c>
      <c r="O37">
        <v>1039</v>
      </c>
      <c r="P37" s="5">
        <v>8.1029999999999998</v>
      </c>
      <c r="R37">
        <f t="shared" si="3"/>
        <v>4.0599999999999996</v>
      </c>
      <c r="S37" s="4">
        <v>4</v>
      </c>
      <c r="T37">
        <v>835.6</v>
      </c>
      <c r="U37" s="5">
        <v>8.4339999999999993</v>
      </c>
      <c r="X37">
        <f t="shared" si="4"/>
        <v>4.0599999999999996</v>
      </c>
      <c r="Y37" s="4">
        <v>4</v>
      </c>
      <c r="Z37">
        <v>1730</v>
      </c>
      <c r="AA37" s="5">
        <v>8.5820000000000007</v>
      </c>
      <c r="AD37" s="4">
        <v>4</v>
      </c>
      <c r="AF37" s="5"/>
      <c r="AI37" s="4">
        <v>4</v>
      </c>
      <c r="AK37" s="5"/>
      <c r="AN37" s="4">
        <v>4</v>
      </c>
      <c r="AP37" s="5"/>
    </row>
    <row r="38" spans="1:42" x14ac:dyDescent="0.25">
      <c r="A38" s="13" t="s">
        <v>57</v>
      </c>
      <c r="B38">
        <f t="shared" si="0"/>
        <v>88.1</v>
      </c>
      <c r="C38" s="4">
        <v>3.5</v>
      </c>
      <c r="E38" s="5"/>
      <c r="H38">
        <f t="shared" si="1"/>
        <v>3.56</v>
      </c>
      <c r="I38" s="4">
        <v>3.5</v>
      </c>
      <c r="K38" s="5"/>
      <c r="M38">
        <f t="shared" si="2"/>
        <v>3.56</v>
      </c>
      <c r="N38" s="4">
        <v>3.5</v>
      </c>
      <c r="P38" s="5"/>
      <c r="R38">
        <f t="shared" si="3"/>
        <v>3.56</v>
      </c>
      <c r="S38" s="4">
        <v>3.5</v>
      </c>
      <c r="U38" s="5"/>
      <c r="X38">
        <f t="shared" si="4"/>
        <v>3.56</v>
      </c>
      <c r="Y38" s="4">
        <v>3.5</v>
      </c>
      <c r="AA38" s="5"/>
      <c r="AD38" s="4">
        <v>3.5</v>
      </c>
      <c r="AF38" s="5"/>
      <c r="AI38" s="4">
        <v>3.5</v>
      </c>
      <c r="AK38" s="5"/>
      <c r="AN38" s="4">
        <v>3.5</v>
      </c>
      <c r="AP38" s="5"/>
    </row>
    <row r="39" spans="1:42" x14ac:dyDescent="0.25">
      <c r="A39" s="13" t="s">
        <v>59</v>
      </c>
      <c r="B39">
        <f t="shared" si="0"/>
        <v>87.6</v>
      </c>
      <c r="C39" s="4">
        <v>3</v>
      </c>
      <c r="D39">
        <v>466</v>
      </c>
      <c r="E39" s="5">
        <v>9.5640000000000001</v>
      </c>
      <c r="H39">
        <f t="shared" si="1"/>
        <v>3.06</v>
      </c>
      <c r="I39" s="4">
        <v>3</v>
      </c>
      <c r="J39">
        <v>399.2</v>
      </c>
      <c r="K39" s="5">
        <v>11.71</v>
      </c>
      <c r="M39">
        <f t="shared" si="2"/>
        <v>3.06</v>
      </c>
      <c r="N39" s="4">
        <v>3</v>
      </c>
      <c r="P39" s="5"/>
      <c r="R39">
        <f t="shared" si="3"/>
        <v>3.06</v>
      </c>
      <c r="S39" s="4">
        <v>3</v>
      </c>
      <c r="U39" s="5"/>
      <c r="X39">
        <f t="shared" si="4"/>
        <v>3.06</v>
      </c>
      <c r="Y39" s="4">
        <v>3</v>
      </c>
      <c r="AA39" s="5"/>
      <c r="AD39" s="4">
        <v>3</v>
      </c>
      <c r="AF39" s="5"/>
      <c r="AI39" s="4">
        <v>3</v>
      </c>
      <c r="AK39" s="5"/>
      <c r="AN39" s="4">
        <v>3</v>
      </c>
      <c r="AP39" s="5"/>
    </row>
    <row r="40" spans="1:42" x14ac:dyDescent="0.25">
      <c r="B40">
        <f t="shared" si="0"/>
        <v>87.1</v>
      </c>
      <c r="C40" s="4">
        <v>2.5</v>
      </c>
      <c r="E40" s="5"/>
      <c r="H40">
        <f t="shared" si="1"/>
        <v>2.56</v>
      </c>
      <c r="I40" s="4">
        <v>2.5</v>
      </c>
      <c r="K40" s="5"/>
      <c r="M40">
        <f t="shared" si="2"/>
        <v>2.56</v>
      </c>
      <c r="N40" s="4">
        <v>2.5</v>
      </c>
      <c r="P40" s="5"/>
      <c r="R40">
        <f t="shared" si="3"/>
        <v>2.56</v>
      </c>
      <c r="S40" s="4">
        <v>2.5</v>
      </c>
      <c r="U40" s="5"/>
      <c r="X40">
        <f t="shared" si="4"/>
        <v>2.56</v>
      </c>
      <c r="Y40" s="4">
        <v>2.5</v>
      </c>
      <c r="AA40" s="5"/>
      <c r="AD40" s="4">
        <v>2.5</v>
      </c>
      <c r="AF40" s="5"/>
      <c r="AI40" s="4">
        <v>2.5</v>
      </c>
      <c r="AK40" s="5"/>
      <c r="AN40" s="4">
        <v>2.5</v>
      </c>
      <c r="AP40" s="5"/>
    </row>
    <row r="41" spans="1:42" x14ac:dyDescent="0.25">
      <c r="B41">
        <f t="shared" si="0"/>
        <v>86.6</v>
      </c>
      <c r="C41" s="4">
        <v>2</v>
      </c>
      <c r="D41">
        <v>470</v>
      </c>
      <c r="E41" s="5">
        <v>8.52</v>
      </c>
      <c r="H41">
        <f t="shared" si="1"/>
        <v>2.06</v>
      </c>
      <c r="I41" s="4">
        <v>2</v>
      </c>
      <c r="J41">
        <v>430</v>
      </c>
      <c r="K41" s="5">
        <v>11.61</v>
      </c>
      <c r="M41">
        <f t="shared" si="2"/>
        <v>2.06</v>
      </c>
      <c r="N41" s="4">
        <v>2</v>
      </c>
      <c r="O41">
        <v>1024</v>
      </c>
      <c r="P41" s="5">
        <v>8.0440000000000005</v>
      </c>
      <c r="R41">
        <f t="shared" si="3"/>
        <v>2.06</v>
      </c>
      <c r="S41" s="4">
        <v>2</v>
      </c>
      <c r="T41">
        <v>961.8</v>
      </c>
      <c r="U41" s="5">
        <v>8.0489999999999995</v>
      </c>
      <c r="X41">
        <f t="shared" si="4"/>
        <v>2.06</v>
      </c>
      <c r="Y41" s="4">
        <v>2</v>
      </c>
      <c r="Z41">
        <v>1727</v>
      </c>
      <c r="AA41" s="5">
        <v>8.6270000000000007</v>
      </c>
      <c r="AD41" s="4">
        <v>2</v>
      </c>
      <c r="AF41" s="5"/>
      <c r="AI41" s="4">
        <v>2</v>
      </c>
      <c r="AK41" s="5"/>
      <c r="AN41" s="4">
        <v>2</v>
      </c>
      <c r="AP41" s="5"/>
    </row>
    <row r="42" spans="1:42" x14ac:dyDescent="0.25">
      <c r="B42">
        <f t="shared" si="0"/>
        <v>86.1</v>
      </c>
      <c r="C42" s="4">
        <v>1.5</v>
      </c>
      <c r="E42" s="5"/>
      <c r="H42">
        <f t="shared" si="1"/>
        <v>1.56</v>
      </c>
      <c r="I42" s="4">
        <v>1.5</v>
      </c>
      <c r="K42" s="5"/>
      <c r="M42">
        <f t="shared" si="2"/>
        <v>1.56</v>
      </c>
      <c r="N42" s="4">
        <v>1.5</v>
      </c>
      <c r="P42" s="5"/>
      <c r="R42">
        <f t="shared" si="3"/>
        <v>1.56</v>
      </c>
      <c r="S42" s="4">
        <v>1.5</v>
      </c>
      <c r="U42" s="5"/>
      <c r="X42">
        <f t="shared" si="4"/>
        <v>1.56</v>
      </c>
      <c r="Y42" s="4">
        <v>1.5</v>
      </c>
      <c r="AA42" s="5"/>
      <c r="AD42" s="4">
        <v>1.5</v>
      </c>
      <c r="AF42" s="5"/>
      <c r="AI42" s="4">
        <v>1.5</v>
      </c>
      <c r="AK42" s="5"/>
      <c r="AN42" s="4">
        <v>1.5</v>
      </c>
      <c r="AP42" s="5"/>
    </row>
    <row r="43" spans="1:42" x14ac:dyDescent="0.25">
      <c r="A43" t="s">
        <v>52</v>
      </c>
      <c r="B43">
        <f t="shared" si="0"/>
        <v>85.6</v>
      </c>
      <c r="C43" s="4">
        <v>1</v>
      </c>
      <c r="D43">
        <v>471.1</v>
      </c>
      <c r="E43" s="5">
        <v>8.4740000000000002</v>
      </c>
      <c r="G43" t="s">
        <v>52</v>
      </c>
      <c r="H43">
        <f t="shared" si="1"/>
        <v>1.06</v>
      </c>
      <c r="I43" s="4">
        <v>1</v>
      </c>
      <c r="J43">
        <v>443.3</v>
      </c>
      <c r="K43" s="5">
        <v>10.77</v>
      </c>
      <c r="M43">
        <f t="shared" si="2"/>
        <v>1.06</v>
      </c>
      <c r="N43" s="4">
        <v>1</v>
      </c>
      <c r="P43" s="5"/>
      <c r="R43">
        <f t="shared" si="3"/>
        <v>1.06</v>
      </c>
      <c r="S43" s="4">
        <v>1</v>
      </c>
      <c r="U43" s="5"/>
      <c r="X43">
        <f t="shared" si="4"/>
        <v>1.06</v>
      </c>
      <c r="Y43" s="4">
        <v>1</v>
      </c>
      <c r="AA43" s="5"/>
      <c r="AC43" t="s">
        <v>52</v>
      </c>
      <c r="AD43" s="4">
        <v>1</v>
      </c>
      <c r="AF43" s="5"/>
      <c r="AH43" t="s">
        <v>52</v>
      </c>
      <c r="AI43" s="4">
        <v>1</v>
      </c>
      <c r="AK43" s="5"/>
      <c r="AM43" t="s">
        <v>52</v>
      </c>
      <c r="AN43" s="4">
        <v>1</v>
      </c>
      <c r="AP43" s="5"/>
    </row>
    <row r="44" spans="1:42" x14ac:dyDescent="0.25">
      <c r="A44" t="s">
        <v>53</v>
      </c>
      <c r="B44">
        <f>B$45+C44</f>
        <v>85.1</v>
      </c>
      <c r="C44" s="4">
        <v>0.5</v>
      </c>
      <c r="E44" s="5"/>
      <c r="G44" t="s">
        <v>53</v>
      </c>
      <c r="H44">
        <f t="shared" si="1"/>
        <v>0.56000000000000005</v>
      </c>
      <c r="I44" s="4">
        <v>0.5</v>
      </c>
      <c r="K44" s="5"/>
      <c r="M44">
        <f t="shared" si="2"/>
        <v>0.56000000000000005</v>
      </c>
      <c r="N44" s="4">
        <v>0.5</v>
      </c>
      <c r="P44" s="5"/>
      <c r="R44">
        <f t="shared" si="3"/>
        <v>0.56000000000000005</v>
      </c>
      <c r="S44" s="4">
        <v>0.5</v>
      </c>
      <c r="U44" s="5"/>
      <c r="X44">
        <f t="shared" si="4"/>
        <v>0.56000000000000005</v>
      </c>
      <c r="Y44" s="4">
        <v>0.5</v>
      </c>
      <c r="AA44" s="5"/>
      <c r="AC44" t="s">
        <v>53</v>
      </c>
      <c r="AD44" s="4">
        <v>0.5</v>
      </c>
      <c r="AF44" s="5"/>
      <c r="AH44" t="s">
        <v>53</v>
      </c>
      <c r="AI44" s="4">
        <v>0.5</v>
      </c>
      <c r="AK44" s="5"/>
      <c r="AM44" t="s">
        <v>53</v>
      </c>
      <c r="AN44" s="4">
        <v>0.5</v>
      </c>
      <c r="AP44" s="5"/>
    </row>
    <row r="45" spans="1:42" x14ac:dyDescent="0.25">
      <c r="A45" s="13" t="s">
        <v>65</v>
      </c>
      <c r="B45" s="16">
        <v>84.6</v>
      </c>
      <c r="C45" s="4">
        <v>0</v>
      </c>
      <c r="D45">
        <v>469</v>
      </c>
      <c r="E45" s="5">
        <v>8.0340000000000007</v>
      </c>
      <c r="G45" t="s">
        <v>66</v>
      </c>
      <c r="H45">
        <v>0.06</v>
      </c>
      <c r="I45" s="4">
        <v>0</v>
      </c>
      <c r="J45">
        <v>447.2</v>
      </c>
      <c r="K45" s="5">
        <v>11.57</v>
      </c>
      <c r="M45">
        <v>0.06</v>
      </c>
      <c r="N45" s="4">
        <v>0</v>
      </c>
      <c r="O45">
        <v>1018</v>
      </c>
      <c r="P45" s="5">
        <v>8.06</v>
      </c>
      <c r="R45">
        <v>0.06</v>
      </c>
      <c r="S45" s="4">
        <v>0</v>
      </c>
      <c r="T45">
        <v>1002</v>
      </c>
      <c r="U45" s="5">
        <v>8.0449999999999999</v>
      </c>
      <c r="X45">
        <v>0.06</v>
      </c>
      <c r="Y45" s="4">
        <v>0</v>
      </c>
      <c r="Z45">
        <v>1706</v>
      </c>
      <c r="AA45" s="5">
        <v>8.5389999999999997</v>
      </c>
      <c r="AC45">
        <v>0</v>
      </c>
      <c r="AD45" s="4">
        <v>0</v>
      </c>
      <c r="AF45" s="5"/>
      <c r="AH45">
        <v>0</v>
      </c>
      <c r="AI45" s="4">
        <v>0</v>
      </c>
      <c r="AK45" s="5"/>
      <c r="AM45">
        <v>0</v>
      </c>
      <c r="AN45" s="4">
        <v>0</v>
      </c>
      <c r="AP45" s="5"/>
    </row>
    <row r="46" spans="1:42" x14ac:dyDescent="0.25">
      <c r="B46">
        <f>B45-0.5</f>
        <v>84.1</v>
      </c>
      <c r="C46" s="4">
        <v>-0.5</v>
      </c>
      <c r="E46" s="5"/>
      <c r="H46">
        <f>1000+I46+H$45</f>
        <v>999.56</v>
      </c>
      <c r="I46" s="4">
        <v>-0.5</v>
      </c>
      <c r="K46" s="5"/>
      <c r="M46">
        <f>1000+N46+M$45</f>
        <v>999.56</v>
      </c>
      <c r="N46" s="4">
        <v>-0.5</v>
      </c>
      <c r="P46" s="5"/>
      <c r="R46">
        <f>1000+S46+R$45</f>
        <v>999.56</v>
      </c>
      <c r="S46" s="4">
        <v>-0.5</v>
      </c>
      <c r="U46" s="5"/>
      <c r="X46">
        <f>1000+Y46+X$45</f>
        <v>999.56</v>
      </c>
      <c r="Y46" s="4">
        <v>-0.5</v>
      </c>
      <c r="AA46" s="5"/>
      <c r="AC46">
        <v>999.5</v>
      </c>
      <c r="AD46" s="4">
        <v>-0.5</v>
      </c>
      <c r="AF46" s="5"/>
      <c r="AH46">
        <v>999.5</v>
      </c>
      <c r="AI46" s="4">
        <v>-0.5</v>
      </c>
      <c r="AK46" s="5"/>
      <c r="AM46">
        <v>999.5</v>
      </c>
      <c r="AN46" s="4">
        <v>-0.5</v>
      </c>
      <c r="AP46" s="5"/>
    </row>
    <row r="47" spans="1:42" x14ac:dyDescent="0.25">
      <c r="B47">
        <f t="shared" ref="B47:B75" si="5">B46-0.5</f>
        <v>83.6</v>
      </c>
      <c r="C47" s="4">
        <v>-1</v>
      </c>
      <c r="E47" s="5"/>
      <c r="H47">
        <f t="shared" ref="H47:H75" si="6">1000+I47+H$45</f>
        <v>999.06</v>
      </c>
      <c r="I47" s="4">
        <v>-1</v>
      </c>
      <c r="J47">
        <v>434.4</v>
      </c>
      <c r="K47" s="5">
        <v>11.18</v>
      </c>
      <c r="M47">
        <f t="shared" ref="M47:M75" si="7">1000+N47+M$45</f>
        <v>999.06</v>
      </c>
      <c r="N47" s="4">
        <v>-1</v>
      </c>
      <c r="P47" s="5"/>
      <c r="R47">
        <f t="shared" ref="R47:R75" si="8">1000+S47+R$45</f>
        <v>999.06</v>
      </c>
      <c r="S47" s="4">
        <v>-1</v>
      </c>
      <c r="U47" s="5"/>
      <c r="X47">
        <f t="shared" ref="X47:X75" si="9">1000+Y47+X$45</f>
        <v>999.06</v>
      </c>
      <c r="Y47" s="4">
        <v>-1</v>
      </c>
      <c r="AA47" s="5"/>
      <c r="AC47">
        <v>999</v>
      </c>
      <c r="AD47" s="4">
        <v>-1</v>
      </c>
      <c r="AF47" s="5"/>
      <c r="AH47">
        <v>999</v>
      </c>
      <c r="AI47" s="4">
        <v>-1</v>
      </c>
      <c r="AK47" s="5"/>
      <c r="AM47">
        <v>999</v>
      </c>
      <c r="AN47" s="4">
        <v>-1</v>
      </c>
      <c r="AP47" s="5"/>
    </row>
    <row r="48" spans="1:42" x14ac:dyDescent="0.25">
      <c r="B48">
        <f t="shared" si="5"/>
        <v>83.1</v>
      </c>
      <c r="C48" s="4">
        <v>-1.5</v>
      </c>
      <c r="E48" s="5"/>
      <c r="H48">
        <f t="shared" si="6"/>
        <v>998.56</v>
      </c>
      <c r="I48" s="4">
        <v>-1.5</v>
      </c>
      <c r="K48" s="5"/>
      <c r="M48">
        <f t="shared" si="7"/>
        <v>998.56</v>
      </c>
      <c r="N48" s="4">
        <v>-1.5</v>
      </c>
      <c r="P48" s="5"/>
      <c r="R48">
        <f t="shared" si="8"/>
        <v>998.56</v>
      </c>
      <c r="S48" s="4">
        <v>-1.5</v>
      </c>
      <c r="U48" s="5"/>
      <c r="X48">
        <f t="shared" si="9"/>
        <v>998.56</v>
      </c>
      <c r="Y48" s="4">
        <v>-1.5</v>
      </c>
      <c r="AA48" s="5"/>
      <c r="AC48">
        <v>998.5</v>
      </c>
      <c r="AD48" s="4">
        <v>-1.5</v>
      </c>
      <c r="AF48" s="5"/>
      <c r="AH48">
        <v>998.5</v>
      </c>
      <c r="AI48" s="4">
        <v>-1.5</v>
      </c>
      <c r="AK48" s="5"/>
      <c r="AM48">
        <v>998.5</v>
      </c>
      <c r="AN48" s="4">
        <v>-1.5</v>
      </c>
      <c r="AP48" s="5"/>
    </row>
    <row r="49" spans="2:42" x14ac:dyDescent="0.25">
      <c r="B49">
        <f t="shared" si="5"/>
        <v>82.6</v>
      </c>
      <c r="C49" s="4">
        <v>-2</v>
      </c>
      <c r="D49">
        <v>445.6</v>
      </c>
      <c r="E49" s="5">
        <v>10.37</v>
      </c>
      <c r="H49">
        <f t="shared" si="6"/>
        <v>998.06</v>
      </c>
      <c r="I49" s="4">
        <v>-2</v>
      </c>
      <c r="K49" s="5"/>
      <c r="M49">
        <f t="shared" si="7"/>
        <v>998.06</v>
      </c>
      <c r="N49" s="4">
        <v>-2</v>
      </c>
      <c r="O49">
        <v>971.5</v>
      </c>
      <c r="P49" s="5">
        <v>8.1460000000000008</v>
      </c>
      <c r="R49">
        <f t="shared" si="8"/>
        <v>998.06</v>
      </c>
      <c r="S49" s="4">
        <v>-2</v>
      </c>
      <c r="T49">
        <v>935.1</v>
      </c>
      <c r="U49" s="5">
        <v>8.34</v>
      </c>
      <c r="X49">
        <f t="shared" si="9"/>
        <v>998.06</v>
      </c>
      <c r="Y49" s="4">
        <v>-2</v>
      </c>
      <c r="Z49">
        <v>1639</v>
      </c>
      <c r="AA49" s="5">
        <v>8.6449999999999996</v>
      </c>
      <c r="AC49">
        <v>998</v>
      </c>
      <c r="AD49" s="4">
        <v>-2</v>
      </c>
      <c r="AF49" s="5"/>
      <c r="AH49">
        <v>998</v>
      </c>
      <c r="AI49" s="4">
        <v>-2</v>
      </c>
      <c r="AK49" s="5"/>
      <c r="AM49">
        <v>998</v>
      </c>
      <c r="AN49" s="4">
        <v>-2</v>
      </c>
      <c r="AP49" s="5"/>
    </row>
    <row r="50" spans="2:42" x14ac:dyDescent="0.25">
      <c r="B50">
        <f t="shared" si="5"/>
        <v>82.1</v>
      </c>
      <c r="C50" s="4">
        <v>-2.5</v>
      </c>
      <c r="E50" s="5"/>
      <c r="H50">
        <f t="shared" si="6"/>
        <v>997.56</v>
      </c>
      <c r="I50" s="4">
        <v>-2.5</v>
      </c>
      <c r="K50" s="5"/>
      <c r="M50">
        <f t="shared" si="7"/>
        <v>997.56</v>
      </c>
      <c r="N50" s="4">
        <v>-2.5</v>
      </c>
      <c r="P50" s="5"/>
      <c r="R50">
        <f t="shared" si="8"/>
        <v>997.56</v>
      </c>
      <c r="S50" s="4">
        <v>-2.5</v>
      </c>
      <c r="U50" s="5"/>
      <c r="X50">
        <f t="shared" si="9"/>
        <v>997.56</v>
      </c>
      <c r="Y50" s="4">
        <v>-2.5</v>
      </c>
      <c r="AA50" s="5"/>
      <c r="AC50">
        <v>997.5</v>
      </c>
      <c r="AD50" s="4">
        <v>-2.5</v>
      </c>
      <c r="AF50" s="5"/>
      <c r="AH50">
        <v>997.5</v>
      </c>
      <c r="AI50" s="4">
        <v>-2.5</v>
      </c>
      <c r="AK50" s="5"/>
      <c r="AM50">
        <v>997.5</v>
      </c>
      <c r="AN50" s="4">
        <v>-2.5</v>
      </c>
      <c r="AP50" s="5"/>
    </row>
    <row r="51" spans="2:42" x14ac:dyDescent="0.25">
      <c r="B51">
        <f t="shared" si="5"/>
        <v>81.599999999999994</v>
      </c>
      <c r="C51" s="4">
        <v>-3</v>
      </c>
      <c r="E51" s="5"/>
      <c r="H51">
        <f t="shared" si="6"/>
        <v>997.06</v>
      </c>
      <c r="I51" s="4">
        <v>-3</v>
      </c>
      <c r="J51">
        <v>379</v>
      </c>
      <c r="K51" s="5">
        <v>11.85</v>
      </c>
      <c r="M51">
        <f t="shared" si="7"/>
        <v>997.06</v>
      </c>
      <c r="N51" s="4">
        <v>-3</v>
      </c>
      <c r="P51" s="5"/>
      <c r="R51">
        <f t="shared" si="8"/>
        <v>997.06</v>
      </c>
      <c r="S51" s="4">
        <v>-3</v>
      </c>
      <c r="U51" s="5"/>
      <c r="X51">
        <f t="shared" si="9"/>
        <v>997.06</v>
      </c>
      <c r="Y51" s="4">
        <v>-3</v>
      </c>
      <c r="AA51" s="5"/>
      <c r="AC51">
        <v>997</v>
      </c>
      <c r="AD51" s="4">
        <v>-3</v>
      </c>
      <c r="AF51" s="5"/>
      <c r="AH51">
        <v>997</v>
      </c>
      <c r="AI51" s="4">
        <v>-3</v>
      </c>
      <c r="AK51" s="5"/>
      <c r="AM51">
        <v>997</v>
      </c>
      <c r="AN51" s="4">
        <v>-3</v>
      </c>
      <c r="AP51" s="5"/>
    </row>
    <row r="52" spans="2:42" x14ac:dyDescent="0.25">
      <c r="B52">
        <f t="shared" si="5"/>
        <v>81.099999999999994</v>
      </c>
      <c r="C52" s="4">
        <v>-3.5</v>
      </c>
      <c r="E52" s="5"/>
      <c r="H52">
        <f t="shared" si="6"/>
        <v>996.56</v>
      </c>
      <c r="I52" s="4">
        <v>-3.5</v>
      </c>
      <c r="K52" s="5"/>
      <c r="M52">
        <f t="shared" si="7"/>
        <v>996.56</v>
      </c>
      <c r="N52" s="4">
        <v>-3.5</v>
      </c>
      <c r="P52" s="5"/>
      <c r="R52">
        <f t="shared" si="8"/>
        <v>996.56</v>
      </c>
      <c r="S52" s="4">
        <v>-3.5</v>
      </c>
      <c r="U52" s="5"/>
      <c r="X52">
        <f t="shared" si="9"/>
        <v>996.56</v>
      </c>
      <c r="Y52" s="4">
        <v>-3.5</v>
      </c>
      <c r="AA52" s="5"/>
      <c r="AC52">
        <v>996.5</v>
      </c>
      <c r="AD52" s="4">
        <v>-3.5</v>
      </c>
      <c r="AF52" s="5"/>
      <c r="AH52">
        <v>996.5</v>
      </c>
      <c r="AI52" s="4">
        <v>-3.5</v>
      </c>
      <c r="AK52" s="5"/>
      <c r="AM52">
        <v>996.5</v>
      </c>
      <c r="AN52" s="4">
        <v>-3.5</v>
      </c>
      <c r="AP52" s="5"/>
    </row>
    <row r="53" spans="2:42" x14ac:dyDescent="0.25">
      <c r="B53">
        <f t="shared" si="5"/>
        <v>80.599999999999994</v>
      </c>
      <c r="C53" s="4">
        <v>-4</v>
      </c>
      <c r="D53">
        <v>438.8</v>
      </c>
      <c r="E53" s="5">
        <v>10.050000000000001</v>
      </c>
      <c r="H53">
        <f t="shared" si="6"/>
        <v>996.06</v>
      </c>
      <c r="I53" s="4">
        <v>-4</v>
      </c>
      <c r="K53" s="5"/>
      <c r="M53">
        <f t="shared" si="7"/>
        <v>996.06</v>
      </c>
      <c r="N53" s="4">
        <v>-4</v>
      </c>
      <c r="O53">
        <v>878.6</v>
      </c>
      <c r="P53" s="5">
        <v>8.3529999999999998</v>
      </c>
      <c r="R53">
        <f t="shared" si="8"/>
        <v>996.06</v>
      </c>
      <c r="S53" s="4">
        <v>-4</v>
      </c>
      <c r="T53">
        <v>771.7</v>
      </c>
      <c r="U53" s="5">
        <v>8.6389999999999993</v>
      </c>
      <c r="X53">
        <f t="shared" si="9"/>
        <v>996.06</v>
      </c>
      <c r="Y53" s="4">
        <v>-4</v>
      </c>
      <c r="Z53">
        <v>1471</v>
      </c>
      <c r="AA53" s="5">
        <v>8.9930000000000003</v>
      </c>
      <c r="AC53">
        <v>996</v>
      </c>
      <c r="AD53" s="4">
        <v>-4</v>
      </c>
      <c r="AF53" s="5"/>
      <c r="AH53">
        <v>996</v>
      </c>
      <c r="AI53" s="4">
        <v>-4</v>
      </c>
      <c r="AK53" s="5"/>
      <c r="AM53">
        <v>996</v>
      </c>
      <c r="AN53" s="4">
        <v>-4</v>
      </c>
      <c r="AP53" s="5"/>
    </row>
    <row r="54" spans="2:42" x14ac:dyDescent="0.25">
      <c r="B54">
        <f t="shared" si="5"/>
        <v>80.099999999999994</v>
      </c>
      <c r="C54" s="4">
        <v>-4.5</v>
      </c>
      <c r="E54" s="5"/>
      <c r="H54">
        <f t="shared" si="6"/>
        <v>995.56</v>
      </c>
      <c r="I54" s="4">
        <v>-4.5</v>
      </c>
      <c r="K54" s="5"/>
      <c r="M54">
        <f t="shared" si="7"/>
        <v>995.56</v>
      </c>
      <c r="N54" s="4">
        <v>-4.5</v>
      </c>
      <c r="P54" s="5"/>
      <c r="R54">
        <f t="shared" si="8"/>
        <v>995.56</v>
      </c>
      <c r="S54" s="4">
        <v>-4.5</v>
      </c>
      <c r="U54" s="5"/>
      <c r="X54">
        <f t="shared" si="9"/>
        <v>995.56</v>
      </c>
      <c r="Y54" s="4">
        <v>-4.5</v>
      </c>
      <c r="AA54" s="5"/>
      <c r="AC54">
        <v>995.5</v>
      </c>
      <c r="AD54" s="4">
        <v>-4.5</v>
      </c>
      <c r="AF54" s="5"/>
      <c r="AH54">
        <v>995.5</v>
      </c>
      <c r="AI54" s="4">
        <v>-4.5</v>
      </c>
      <c r="AK54" s="5"/>
      <c r="AM54">
        <v>995.5</v>
      </c>
      <c r="AN54" s="4">
        <v>-4.5</v>
      </c>
      <c r="AP54" s="5"/>
    </row>
    <row r="55" spans="2:42" x14ac:dyDescent="0.25">
      <c r="B55">
        <f t="shared" si="5"/>
        <v>79.599999999999994</v>
      </c>
      <c r="C55" s="4">
        <v>-5</v>
      </c>
      <c r="E55" s="5"/>
      <c r="H55">
        <f t="shared" si="6"/>
        <v>995.06</v>
      </c>
      <c r="I55" s="4">
        <v>-5</v>
      </c>
      <c r="J55">
        <v>273</v>
      </c>
      <c r="K55" s="5">
        <v>18.64</v>
      </c>
      <c r="M55">
        <f t="shared" si="7"/>
        <v>995.06</v>
      </c>
      <c r="N55" s="4">
        <v>-5</v>
      </c>
      <c r="P55" s="5"/>
      <c r="R55">
        <f t="shared" si="8"/>
        <v>995.06</v>
      </c>
      <c r="S55" s="4">
        <v>-5</v>
      </c>
      <c r="U55" s="5"/>
      <c r="X55">
        <f t="shared" si="9"/>
        <v>995.06</v>
      </c>
      <c r="Y55" s="4">
        <v>-5</v>
      </c>
      <c r="AA55" s="5"/>
      <c r="AC55">
        <v>995</v>
      </c>
      <c r="AD55" s="4">
        <v>-5</v>
      </c>
      <c r="AF55" s="5"/>
      <c r="AH55">
        <v>995</v>
      </c>
      <c r="AI55" s="4">
        <v>-5</v>
      </c>
      <c r="AK55" s="5"/>
      <c r="AM55">
        <v>995</v>
      </c>
      <c r="AN55" s="4">
        <v>-5</v>
      </c>
      <c r="AP55" s="5"/>
    </row>
    <row r="56" spans="2:42" x14ac:dyDescent="0.25">
      <c r="B56">
        <f t="shared" si="5"/>
        <v>79.099999999999994</v>
      </c>
      <c r="C56" s="4">
        <v>-5.5</v>
      </c>
      <c r="E56" s="5"/>
      <c r="H56">
        <f t="shared" si="6"/>
        <v>994.56</v>
      </c>
      <c r="I56" s="4">
        <v>-5.5</v>
      </c>
      <c r="K56" s="5"/>
      <c r="M56">
        <f t="shared" si="7"/>
        <v>994.56</v>
      </c>
      <c r="N56" s="4">
        <v>-5.5</v>
      </c>
      <c r="P56" s="5"/>
      <c r="R56">
        <f t="shared" si="8"/>
        <v>994.56</v>
      </c>
      <c r="S56" s="4">
        <v>-5.5</v>
      </c>
      <c r="U56" s="5"/>
      <c r="X56">
        <f t="shared" si="9"/>
        <v>994.56</v>
      </c>
      <c r="Y56" s="4">
        <v>-5.5</v>
      </c>
      <c r="AA56" s="5"/>
      <c r="AC56">
        <v>994.5</v>
      </c>
      <c r="AD56" s="4">
        <v>-5.5</v>
      </c>
      <c r="AF56" s="5"/>
      <c r="AH56">
        <v>994.5</v>
      </c>
      <c r="AI56" s="4">
        <v>-5.5</v>
      </c>
      <c r="AK56" s="5"/>
      <c r="AM56">
        <v>994.5</v>
      </c>
      <c r="AN56" s="4">
        <v>-5.5</v>
      </c>
      <c r="AP56" s="5"/>
    </row>
    <row r="57" spans="2:42" x14ac:dyDescent="0.25">
      <c r="B57">
        <f t="shared" si="5"/>
        <v>78.599999999999994</v>
      </c>
      <c r="C57" s="4">
        <v>-6</v>
      </c>
      <c r="D57">
        <v>430.4</v>
      </c>
      <c r="E57" s="5">
        <v>10.130000000000001</v>
      </c>
      <c r="H57">
        <f t="shared" si="6"/>
        <v>994.06</v>
      </c>
      <c r="I57" s="4">
        <v>-6</v>
      </c>
      <c r="K57" s="5"/>
      <c r="M57">
        <f t="shared" si="7"/>
        <v>994.06</v>
      </c>
      <c r="N57" s="4">
        <v>-6</v>
      </c>
      <c r="O57">
        <v>739.7</v>
      </c>
      <c r="P57" s="5">
        <v>8.8089999999999993</v>
      </c>
      <c r="R57">
        <f t="shared" si="8"/>
        <v>994.06</v>
      </c>
      <c r="S57" s="4">
        <v>-6</v>
      </c>
      <c r="T57">
        <v>543.1</v>
      </c>
      <c r="U57" s="5">
        <v>9.6069999999999993</v>
      </c>
      <c r="X57">
        <f t="shared" si="9"/>
        <v>994.06</v>
      </c>
      <c r="Y57" s="4">
        <v>-6</v>
      </c>
      <c r="Z57">
        <v>1249</v>
      </c>
      <c r="AA57" s="5">
        <v>9.4309999999999992</v>
      </c>
      <c r="AC57">
        <v>994</v>
      </c>
      <c r="AD57" s="4">
        <v>-6</v>
      </c>
      <c r="AF57" s="5"/>
      <c r="AH57">
        <v>994</v>
      </c>
      <c r="AI57" s="4">
        <v>-6</v>
      </c>
      <c r="AK57" s="5"/>
      <c r="AM57">
        <v>994</v>
      </c>
      <c r="AN57" s="4">
        <v>-6</v>
      </c>
      <c r="AP57" s="5"/>
    </row>
    <row r="58" spans="2:42" x14ac:dyDescent="0.25">
      <c r="B58">
        <f t="shared" si="5"/>
        <v>78.099999999999994</v>
      </c>
      <c r="C58" s="4">
        <v>-6.5</v>
      </c>
      <c r="E58" s="5"/>
      <c r="H58">
        <f t="shared" si="6"/>
        <v>993.56</v>
      </c>
      <c r="I58" s="4">
        <v>-6.5</v>
      </c>
      <c r="K58" s="5"/>
      <c r="M58">
        <f t="shared" si="7"/>
        <v>993.56</v>
      </c>
      <c r="N58" s="4">
        <v>-6.5</v>
      </c>
      <c r="P58" s="5"/>
      <c r="R58">
        <f t="shared" si="8"/>
        <v>993.56</v>
      </c>
      <c r="S58" s="4">
        <v>-6.5</v>
      </c>
      <c r="U58" s="5"/>
      <c r="X58">
        <f t="shared" si="9"/>
        <v>993.56</v>
      </c>
      <c r="Y58" s="4">
        <v>-6.5</v>
      </c>
      <c r="AA58" s="5"/>
      <c r="AC58">
        <v>993.5</v>
      </c>
      <c r="AD58" s="4">
        <v>-6.5</v>
      </c>
      <c r="AF58" s="5"/>
      <c r="AH58">
        <v>993.5</v>
      </c>
      <c r="AI58" s="4">
        <v>-6.5</v>
      </c>
      <c r="AK58" s="5"/>
      <c r="AM58">
        <v>993.5</v>
      </c>
      <c r="AN58" s="4">
        <v>-6.5</v>
      </c>
      <c r="AP58" s="5"/>
    </row>
    <row r="59" spans="2:42" x14ac:dyDescent="0.25">
      <c r="B59">
        <f t="shared" si="5"/>
        <v>77.599999999999994</v>
      </c>
      <c r="C59" s="4">
        <v>-7</v>
      </c>
      <c r="E59" s="5"/>
      <c r="H59">
        <f t="shared" si="6"/>
        <v>993.06</v>
      </c>
      <c r="I59" s="4">
        <v>-7</v>
      </c>
      <c r="J59">
        <v>153.1</v>
      </c>
      <c r="K59" s="5">
        <v>19.55</v>
      </c>
      <c r="M59">
        <f t="shared" si="7"/>
        <v>993.06</v>
      </c>
      <c r="N59" s="4">
        <v>-7</v>
      </c>
      <c r="P59" s="5"/>
      <c r="R59">
        <f t="shared" si="8"/>
        <v>993.06</v>
      </c>
      <c r="S59" s="4">
        <v>-7</v>
      </c>
      <c r="T59">
        <v>389.9</v>
      </c>
      <c r="U59" s="5">
        <v>10.093999999999999</v>
      </c>
      <c r="X59">
        <f t="shared" si="9"/>
        <v>993.06</v>
      </c>
      <c r="Y59" s="4">
        <v>-7</v>
      </c>
      <c r="AA59" s="5"/>
      <c r="AC59">
        <v>993</v>
      </c>
      <c r="AD59" s="4">
        <v>-7</v>
      </c>
      <c r="AF59" s="5"/>
      <c r="AH59">
        <v>993</v>
      </c>
      <c r="AI59" s="4">
        <v>-7</v>
      </c>
      <c r="AK59" s="5"/>
      <c r="AM59">
        <v>993</v>
      </c>
      <c r="AN59" s="4">
        <v>-7</v>
      </c>
      <c r="AP59" s="5"/>
    </row>
    <row r="60" spans="2:42" x14ac:dyDescent="0.25">
      <c r="B60">
        <f t="shared" si="5"/>
        <v>77.099999999999994</v>
      </c>
      <c r="C60" s="4">
        <v>-7.5</v>
      </c>
      <c r="E60" s="5"/>
      <c r="H60">
        <f t="shared" si="6"/>
        <v>992.56</v>
      </c>
      <c r="I60" s="4">
        <v>-7.5</v>
      </c>
      <c r="K60" s="5"/>
      <c r="M60">
        <f t="shared" si="7"/>
        <v>992.56</v>
      </c>
      <c r="N60" s="4">
        <v>-7.5</v>
      </c>
      <c r="P60" s="5"/>
      <c r="R60">
        <f t="shared" si="8"/>
        <v>992.56</v>
      </c>
      <c r="S60" s="4">
        <v>-7.5</v>
      </c>
      <c r="U60" s="5"/>
      <c r="X60">
        <f t="shared" si="9"/>
        <v>992.56</v>
      </c>
      <c r="Y60" s="4">
        <v>-7.5</v>
      </c>
      <c r="AA60" s="5"/>
      <c r="AC60">
        <v>992.5</v>
      </c>
      <c r="AD60" s="4">
        <v>-7.5</v>
      </c>
      <c r="AF60" s="5"/>
      <c r="AH60">
        <v>992.5</v>
      </c>
      <c r="AI60" s="4">
        <v>-7.5</v>
      </c>
      <c r="AK60" s="5"/>
      <c r="AM60">
        <v>992.5</v>
      </c>
      <c r="AN60" s="4">
        <v>-7.5</v>
      </c>
      <c r="AP60" s="5"/>
    </row>
    <row r="61" spans="2:42" x14ac:dyDescent="0.25">
      <c r="B61">
        <f t="shared" si="5"/>
        <v>76.599999999999994</v>
      </c>
      <c r="C61" s="4">
        <v>-8</v>
      </c>
      <c r="D61">
        <v>422.1</v>
      </c>
      <c r="E61" s="5">
        <v>10.130000000000001</v>
      </c>
      <c r="H61">
        <f t="shared" si="6"/>
        <v>992.06</v>
      </c>
      <c r="I61" s="4">
        <v>-8</v>
      </c>
      <c r="J61">
        <v>86.19</v>
      </c>
      <c r="K61" s="5">
        <v>19.489999999999998</v>
      </c>
      <c r="M61">
        <f t="shared" si="7"/>
        <v>992.06</v>
      </c>
      <c r="N61" s="4">
        <v>-8</v>
      </c>
      <c r="O61">
        <v>557.6</v>
      </c>
      <c r="P61" s="5">
        <v>9.2040000000000006</v>
      </c>
      <c r="R61">
        <f t="shared" si="8"/>
        <v>992.06</v>
      </c>
      <c r="S61" s="4">
        <v>-8</v>
      </c>
      <c r="T61">
        <v>235.2</v>
      </c>
      <c r="U61" s="5">
        <v>10.756</v>
      </c>
      <c r="X61">
        <f t="shared" si="9"/>
        <v>992.06</v>
      </c>
      <c r="Y61" s="4">
        <v>-8</v>
      </c>
      <c r="Z61">
        <v>963.7</v>
      </c>
      <c r="AA61" s="5">
        <v>9.8930000000000007</v>
      </c>
      <c r="AC61">
        <v>992</v>
      </c>
      <c r="AD61" s="4">
        <v>-8</v>
      </c>
      <c r="AF61" s="5"/>
      <c r="AH61">
        <v>992</v>
      </c>
      <c r="AI61" s="4">
        <v>-8</v>
      </c>
      <c r="AK61" s="5"/>
      <c r="AM61">
        <v>992</v>
      </c>
      <c r="AN61" s="4">
        <v>-8</v>
      </c>
      <c r="AP61" s="5"/>
    </row>
    <row r="62" spans="2:42" x14ac:dyDescent="0.25">
      <c r="B62">
        <f t="shared" si="5"/>
        <v>76.099999999999994</v>
      </c>
      <c r="C62" s="4">
        <v>-8.5</v>
      </c>
      <c r="D62">
        <v>421</v>
      </c>
      <c r="E62" s="5">
        <v>10.35</v>
      </c>
      <c r="H62">
        <f t="shared" si="6"/>
        <v>991.56</v>
      </c>
      <c r="I62" s="4">
        <v>-8.5</v>
      </c>
      <c r="K62" s="5"/>
      <c r="M62">
        <f t="shared" si="7"/>
        <v>991.56</v>
      </c>
      <c r="N62" s="4">
        <v>-8.5</v>
      </c>
      <c r="P62" s="5"/>
      <c r="R62">
        <f t="shared" si="8"/>
        <v>991.56</v>
      </c>
      <c r="S62" s="4">
        <v>-8.5</v>
      </c>
      <c r="U62" s="5"/>
      <c r="X62">
        <f t="shared" si="9"/>
        <v>991.56</v>
      </c>
      <c r="Y62" s="4">
        <v>-8.5</v>
      </c>
      <c r="AA62" s="5"/>
      <c r="AC62">
        <v>991.5</v>
      </c>
      <c r="AD62" s="4">
        <v>-8.5</v>
      </c>
      <c r="AF62" s="5"/>
      <c r="AH62">
        <v>991.5</v>
      </c>
      <c r="AI62" s="4">
        <v>-8.5</v>
      </c>
      <c r="AK62" s="5"/>
      <c r="AM62">
        <v>991.5</v>
      </c>
      <c r="AN62" s="4">
        <v>-8.5</v>
      </c>
      <c r="AP62" s="5"/>
    </row>
    <row r="63" spans="2:42" x14ac:dyDescent="0.25">
      <c r="B63">
        <f t="shared" si="5"/>
        <v>75.599999999999994</v>
      </c>
      <c r="C63" s="4">
        <v>-9</v>
      </c>
      <c r="D63">
        <v>418</v>
      </c>
      <c r="E63" s="5">
        <v>10.210000000000001</v>
      </c>
      <c r="H63">
        <f t="shared" si="6"/>
        <v>991.06</v>
      </c>
      <c r="I63" s="4">
        <v>-9</v>
      </c>
      <c r="J63">
        <v>70.22</v>
      </c>
      <c r="K63" s="5">
        <v>23.17</v>
      </c>
      <c r="M63">
        <f t="shared" si="7"/>
        <v>991.06</v>
      </c>
      <c r="N63" s="4">
        <v>-9</v>
      </c>
      <c r="P63" s="5"/>
      <c r="R63">
        <f t="shared" si="8"/>
        <v>991.06</v>
      </c>
      <c r="S63" s="4">
        <v>-9</v>
      </c>
      <c r="T63">
        <v>197.3</v>
      </c>
      <c r="U63" s="5">
        <v>10.867000000000001</v>
      </c>
      <c r="V63">
        <v>25.56</v>
      </c>
      <c r="X63">
        <f t="shared" si="9"/>
        <v>991.06</v>
      </c>
      <c r="Y63" s="4">
        <v>-9</v>
      </c>
      <c r="Z63">
        <v>802.1</v>
      </c>
      <c r="AA63" s="5">
        <v>10.372999999999999</v>
      </c>
      <c r="AC63">
        <v>991</v>
      </c>
      <c r="AD63" s="4">
        <v>-9</v>
      </c>
      <c r="AF63" s="5"/>
      <c r="AH63">
        <v>991</v>
      </c>
      <c r="AI63" s="4">
        <v>-9</v>
      </c>
      <c r="AK63" s="5"/>
      <c r="AM63">
        <v>991</v>
      </c>
      <c r="AN63" s="4">
        <v>-9</v>
      </c>
      <c r="AP63" s="5"/>
    </row>
    <row r="64" spans="2:42" x14ac:dyDescent="0.25">
      <c r="B64">
        <f t="shared" si="5"/>
        <v>75.099999999999994</v>
      </c>
      <c r="C64" s="4">
        <v>-9.5</v>
      </c>
      <c r="E64" s="5"/>
      <c r="H64">
        <f t="shared" si="6"/>
        <v>990.56</v>
      </c>
      <c r="I64" s="4">
        <v>-9.5</v>
      </c>
      <c r="K64" s="5"/>
      <c r="M64">
        <f t="shared" si="7"/>
        <v>990.56</v>
      </c>
      <c r="N64" s="4">
        <v>-9.5</v>
      </c>
      <c r="P64" s="5"/>
      <c r="R64">
        <f t="shared" si="8"/>
        <v>990.56</v>
      </c>
      <c r="S64" s="4">
        <v>-9.5</v>
      </c>
      <c r="U64" s="5"/>
      <c r="X64">
        <f t="shared" si="9"/>
        <v>990.56</v>
      </c>
      <c r="Y64" s="4">
        <v>-9.5</v>
      </c>
      <c r="AA64" s="5"/>
      <c r="AC64">
        <v>990.5</v>
      </c>
      <c r="AD64" s="4">
        <v>-9.5</v>
      </c>
      <c r="AF64" s="5"/>
      <c r="AH64">
        <v>990.5</v>
      </c>
      <c r="AI64" s="4">
        <v>-9.5</v>
      </c>
      <c r="AK64" s="5"/>
      <c r="AM64">
        <v>990.5</v>
      </c>
      <c r="AN64" s="4">
        <v>-9.5</v>
      </c>
      <c r="AP64" s="5"/>
    </row>
    <row r="65" spans="2:42" x14ac:dyDescent="0.25">
      <c r="B65">
        <f t="shared" si="5"/>
        <v>74.599999999999994</v>
      </c>
      <c r="C65" s="4">
        <v>-10</v>
      </c>
      <c r="D65">
        <v>424.8</v>
      </c>
      <c r="E65" s="5"/>
      <c r="H65">
        <f t="shared" si="6"/>
        <v>990.06</v>
      </c>
      <c r="I65" s="4">
        <v>-10</v>
      </c>
      <c r="J65">
        <v>64.099999999999994</v>
      </c>
      <c r="K65" s="5">
        <v>24.14</v>
      </c>
      <c r="M65">
        <f t="shared" si="7"/>
        <v>990.06</v>
      </c>
      <c r="N65" s="4">
        <v>-10</v>
      </c>
      <c r="O65">
        <v>340.6</v>
      </c>
      <c r="P65" s="5">
        <v>9.9580000000000002</v>
      </c>
      <c r="R65">
        <f t="shared" si="8"/>
        <v>990.06</v>
      </c>
      <c r="S65" s="4">
        <v>-10</v>
      </c>
      <c r="T65">
        <v>183.6</v>
      </c>
      <c r="U65" s="5">
        <v>11.16</v>
      </c>
      <c r="X65">
        <f t="shared" si="9"/>
        <v>990.06</v>
      </c>
      <c r="Y65" s="4">
        <v>-10</v>
      </c>
      <c r="Z65">
        <v>605.5</v>
      </c>
      <c r="AA65" s="5">
        <v>10.759</v>
      </c>
      <c r="AC65">
        <v>990</v>
      </c>
      <c r="AD65" s="4">
        <v>-10</v>
      </c>
      <c r="AF65" s="5"/>
      <c r="AH65">
        <v>990</v>
      </c>
      <c r="AI65" s="4">
        <v>-10</v>
      </c>
      <c r="AK65" s="5"/>
      <c r="AM65">
        <v>990</v>
      </c>
      <c r="AN65" s="4">
        <v>-10</v>
      </c>
      <c r="AP65" s="5"/>
    </row>
    <row r="66" spans="2:42" x14ac:dyDescent="0.25">
      <c r="B66">
        <f t="shared" si="5"/>
        <v>74.099999999999994</v>
      </c>
      <c r="C66" s="4">
        <v>-10.5</v>
      </c>
      <c r="E66" s="5"/>
      <c r="H66">
        <f t="shared" si="6"/>
        <v>989.56</v>
      </c>
      <c r="I66" s="4">
        <v>-10.5</v>
      </c>
      <c r="K66" s="5"/>
      <c r="M66">
        <f t="shared" si="7"/>
        <v>989.56</v>
      </c>
      <c r="N66" s="4">
        <v>-10.5</v>
      </c>
      <c r="P66" s="5"/>
      <c r="R66">
        <f t="shared" si="8"/>
        <v>989.56</v>
      </c>
      <c r="S66" s="4">
        <v>-10.5</v>
      </c>
      <c r="U66" s="5"/>
      <c r="X66">
        <f t="shared" si="9"/>
        <v>989.56</v>
      </c>
      <c r="Y66" s="4">
        <v>-10.5</v>
      </c>
      <c r="AA66" s="5"/>
      <c r="AC66">
        <v>989.5</v>
      </c>
      <c r="AD66" s="4">
        <v>-10.5</v>
      </c>
      <c r="AF66" s="5"/>
      <c r="AH66">
        <v>989.5</v>
      </c>
      <c r="AI66" s="4">
        <v>-10.5</v>
      </c>
      <c r="AK66" s="5"/>
      <c r="AM66">
        <v>989.5</v>
      </c>
      <c r="AN66" s="4">
        <v>-10.5</v>
      </c>
      <c r="AP66" s="5"/>
    </row>
    <row r="67" spans="2:42" x14ac:dyDescent="0.25">
      <c r="B67">
        <f t="shared" si="5"/>
        <v>73.599999999999994</v>
      </c>
      <c r="C67" s="4">
        <v>-11</v>
      </c>
      <c r="E67" s="5"/>
      <c r="H67">
        <f t="shared" si="6"/>
        <v>989.06</v>
      </c>
      <c r="I67" s="4">
        <v>-11</v>
      </c>
      <c r="J67">
        <v>60.83</v>
      </c>
      <c r="K67" s="5">
        <v>25.42</v>
      </c>
      <c r="M67">
        <f t="shared" si="7"/>
        <v>989.06</v>
      </c>
      <c r="N67" s="4">
        <v>-11</v>
      </c>
      <c r="P67" s="5"/>
      <c r="R67">
        <f t="shared" si="8"/>
        <v>989.06</v>
      </c>
      <c r="S67" s="4">
        <v>-11</v>
      </c>
      <c r="T67">
        <v>172.8</v>
      </c>
      <c r="U67" s="5">
        <v>10.629</v>
      </c>
      <c r="X67">
        <f t="shared" si="9"/>
        <v>989.06</v>
      </c>
      <c r="Y67" s="4">
        <v>-11</v>
      </c>
      <c r="Z67">
        <v>420.5</v>
      </c>
      <c r="AA67" s="5">
        <v>11.279</v>
      </c>
      <c r="AC67">
        <v>989</v>
      </c>
      <c r="AD67" s="4">
        <v>-11</v>
      </c>
      <c r="AF67" s="5"/>
      <c r="AH67">
        <v>989</v>
      </c>
      <c r="AI67" s="4">
        <v>-11</v>
      </c>
      <c r="AK67" s="5"/>
      <c r="AM67">
        <v>989</v>
      </c>
      <c r="AN67" s="4">
        <v>-11</v>
      </c>
      <c r="AP67" s="5"/>
    </row>
    <row r="68" spans="2:42" x14ac:dyDescent="0.25">
      <c r="B68">
        <f t="shared" si="5"/>
        <v>73.099999999999994</v>
      </c>
      <c r="C68" s="4">
        <v>-11.5</v>
      </c>
      <c r="E68" s="5"/>
      <c r="H68">
        <f t="shared" si="6"/>
        <v>988.56</v>
      </c>
      <c r="I68" s="4">
        <v>-11.5</v>
      </c>
      <c r="K68" s="5"/>
      <c r="M68">
        <f t="shared" si="7"/>
        <v>988.56</v>
      </c>
      <c r="N68" s="4">
        <v>-11.5</v>
      </c>
      <c r="P68" s="5"/>
      <c r="R68">
        <f t="shared" si="8"/>
        <v>988.56</v>
      </c>
      <c r="S68" s="4">
        <v>-11.5</v>
      </c>
      <c r="U68" s="5"/>
      <c r="X68">
        <f t="shared" si="9"/>
        <v>988.56</v>
      </c>
      <c r="Y68" s="4">
        <v>-11.5</v>
      </c>
      <c r="AA68" s="5"/>
      <c r="AC68">
        <v>988.5</v>
      </c>
      <c r="AD68" s="4">
        <v>-11.5</v>
      </c>
      <c r="AF68" s="5"/>
      <c r="AH68">
        <v>988.5</v>
      </c>
      <c r="AI68" s="4">
        <v>-11.5</v>
      </c>
      <c r="AK68" s="5"/>
      <c r="AM68">
        <v>988.5</v>
      </c>
      <c r="AN68" s="4">
        <v>-11.5</v>
      </c>
      <c r="AP68" s="5"/>
    </row>
    <row r="69" spans="2:42" x14ac:dyDescent="0.25">
      <c r="B69">
        <f t="shared" si="5"/>
        <v>72.599999999999994</v>
      </c>
      <c r="C69" s="4">
        <v>-12</v>
      </c>
      <c r="E69" s="5"/>
      <c r="H69">
        <f t="shared" si="6"/>
        <v>988.06</v>
      </c>
      <c r="I69" s="4">
        <v>-12</v>
      </c>
      <c r="J69">
        <v>58.72</v>
      </c>
      <c r="K69" s="5">
        <v>26.5</v>
      </c>
      <c r="M69">
        <f t="shared" si="7"/>
        <v>988.06</v>
      </c>
      <c r="N69" s="4">
        <v>-12</v>
      </c>
      <c r="O69">
        <v>195.8</v>
      </c>
      <c r="P69" s="5">
        <v>10.571</v>
      </c>
      <c r="R69">
        <f t="shared" si="8"/>
        <v>988.06</v>
      </c>
      <c r="S69" s="4">
        <v>-12</v>
      </c>
      <c r="T69">
        <v>163.1</v>
      </c>
      <c r="U69" s="5">
        <v>11.227</v>
      </c>
      <c r="V69">
        <v>31.46</v>
      </c>
      <c r="X69">
        <f t="shared" si="9"/>
        <v>988.06</v>
      </c>
      <c r="Y69" s="4">
        <v>-12</v>
      </c>
      <c r="Z69">
        <v>352.9</v>
      </c>
      <c r="AA69" s="5">
        <v>11.333</v>
      </c>
      <c r="AC69">
        <v>988</v>
      </c>
      <c r="AD69" s="4">
        <v>-12</v>
      </c>
      <c r="AF69" s="5"/>
      <c r="AH69">
        <v>988</v>
      </c>
      <c r="AI69" s="4">
        <v>-12</v>
      </c>
      <c r="AK69" s="5"/>
      <c r="AM69">
        <v>988</v>
      </c>
      <c r="AN69" s="4">
        <v>-12</v>
      </c>
      <c r="AP69" s="5"/>
    </row>
    <row r="70" spans="2:42" x14ac:dyDescent="0.25">
      <c r="B70">
        <f t="shared" si="5"/>
        <v>72.099999999999994</v>
      </c>
      <c r="C70" s="4">
        <v>-12.5</v>
      </c>
      <c r="E70" s="5"/>
      <c r="H70">
        <f t="shared" si="6"/>
        <v>987.56</v>
      </c>
      <c r="I70" s="4">
        <v>-12.5</v>
      </c>
      <c r="K70" s="5"/>
      <c r="M70">
        <f t="shared" si="7"/>
        <v>987.56</v>
      </c>
      <c r="N70" s="4">
        <v>-12.5</v>
      </c>
      <c r="P70" s="5"/>
      <c r="R70">
        <f t="shared" si="8"/>
        <v>987.56</v>
      </c>
      <c r="S70" s="4">
        <v>-12.5</v>
      </c>
      <c r="U70" s="5"/>
      <c r="X70">
        <f t="shared" si="9"/>
        <v>987.56</v>
      </c>
      <c r="Y70" s="4">
        <v>-12.5</v>
      </c>
      <c r="AA70" s="5"/>
      <c r="AC70">
        <v>987.5</v>
      </c>
      <c r="AD70" s="4">
        <v>-12.5</v>
      </c>
      <c r="AF70" s="5"/>
      <c r="AH70">
        <v>987.5</v>
      </c>
      <c r="AI70" s="4">
        <v>-12.5</v>
      </c>
      <c r="AK70" s="5"/>
      <c r="AM70">
        <v>987.5</v>
      </c>
      <c r="AN70" s="4">
        <v>-12.5</v>
      </c>
      <c r="AP70" s="5"/>
    </row>
    <row r="71" spans="2:42" x14ac:dyDescent="0.25">
      <c r="B71">
        <f t="shared" si="5"/>
        <v>71.599999999999994</v>
      </c>
      <c r="C71" s="4">
        <v>-13</v>
      </c>
      <c r="E71" s="5"/>
      <c r="H71">
        <f t="shared" si="6"/>
        <v>987.06</v>
      </c>
      <c r="I71" s="4">
        <v>-13</v>
      </c>
      <c r="J71">
        <v>54.67</v>
      </c>
      <c r="K71" s="5">
        <v>21.51</v>
      </c>
      <c r="M71">
        <f t="shared" si="7"/>
        <v>987.06</v>
      </c>
      <c r="N71" s="4">
        <v>-13</v>
      </c>
      <c r="O71">
        <v>169.9</v>
      </c>
      <c r="P71" s="5">
        <v>10.06</v>
      </c>
      <c r="R71">
        <f t="shared" si="8"/>
        <v>987.06</v>
      </c>
      <c r="S71" s="4">
        <v>-13</v>
      </c>
      <c r="T71">
        <v>154.69999999999999</v>
      </c>
      <c r="U71">
        <v>10.95</v>
      </c>
      <c r="X71">
        <f t="shared" si="9"/>
        <v>987.06</v>
      </c>
      <c r="Y71" s="4">
        <v>-13</v>
      </c>
      <c r="Z71">
        <v>300.60000000000002</v>
      </c>
      <c r="AA71" s="5">
        <v>11.343999999999999</v>
      </c>
      <c r="AC71">
        <v>987</v>
      </c>
      <c r="AD71" s="4">
        <v>-13</v>
      </c>
      <c r="AF71" s="5"/>
      <c r="AH71">
        <v>987</v>
      </c>
      <c r="AI71" s="4">
        <v>-13</v>
      </c>
      <c r="AK71" s="5"/>
      <c r="AM71">
        <v>987</v>
      </c>
      <c r="AN71" s="4">
        <v>-13</v>
      </c>
      <c r="AP71" s="5"/>
    </row>
    <row r="72" spans="2:42" x14ac:dyDescent="0.25">
      <c r="B72">
        <f t="shared" si="5"/>
        <v>71.099999999999994</v>
      </c>
      <c r="C72" s="4">
        <v>-13.5</v>
      </c>
      <c r="E72" s="5"/>
      <c r="H72">
        <f t="shared" si="6"/>
        <v>986.56</v>
      </c>
      <c r="I72" s="4">
        <v>-13.5</v>
      </c>
      <c r="K72" s="5"/>
      <c r="M72">
        <f t="shared" si="7"/>
        <v>986.56</v>
      </c>
      <c r="N72" s="4">
        <v>-13.5</v>
      </c>
      <c r="P72" s="5"/>
      <c r="R72">
        <f t="shared" si="8"/>
        <v>986.56</v>
      </c>
      <c r="S72" s="4">
        <v>-13.5</v>
      </c>
      <c r="X72">
        <f t="shared" si="9"/>
        <v>986.56</v>
      </c>
      <c r="Y72" s="4">
        <v>-13.5</v>
      </c>
      <c r="AA72" s="5"/>
      <c r="AC72">
        <v>986.5</v>
      </c>
      <c r="AD72" s="4">
        <v>-13.5</v>
      </c>
      <c r="AF72" s="5"/>
      <c r="AH72">
        <v>986.5</v>
      </c>
      <c r="AI72" s="4">
        <v>-13.5</v>
      </c>
      <c r="AK72" s="5"/>
      <c r="AM72">
        <v>986.5</v>
      </c>
      <c r="AN72" s="4">
        <v>-13.5</v>
      </c>
      <c r="AP72" s="5"/>
    </row>
    <row r="73" spans="2:42" x14ac:dyDescent="0.25">
      <c r="B73">
        <f t="shared" si="5"/>
        <v>70.599999999999994</v>
      </c>
      <c r="C73" s="4">
        <v>-14</v>
      </c>
      <c r="E73" s="5"/>
      <c r="H73">
        <f t="shared" si="6"/>
        <v>986.06</v>
      </c>
      <c r="I73" s="4">
        <v>-14</v>
      </c>
      <c r="J73">
        <v>13.51</v>
      </c>
      <c r="K73" s="5">
        <v>14.92</v>
      </c>
      <c r="M73">
        <f t="shared" si="7"/>
        <v>986.06</v>
      </c>
      <c r="N73" s="4">
        <v>-14</v>
      </c>
      <c r="O73">
        <v>42.3</v>
      </c>
      <c r="P73" s="5">
        <v>8.5890000000000004</v>
      </c>
      <c r="R73">
        <f t="shared" si="8"/>
        <v>986.06</v>
      </c>
      <c r="S73" s="4">
        <v>-14</v>
      </c>
      <c r="T73">
        <v>89.36</v>
      </c>
      <c r="U73">
        <v>10.807</v>
      </c>
      <c r="X73">
        <f t="shared" si="9"/>
        <v>986.06</v>
      </c>
      <c r="Y73" s="4">
        <v>-14</v>
      </c>
      <c r="Z73">
        <v>72.78</v>
      </c>
      <c r="AA73" s="5">
        <v>9.7509999999999994</v>
      </c>
      <c r="AC73">
        <v>986</v>
      </c>
      <c r="AD73" s="4">
        <v>-14</v>
      </c>
      <c r="AF73" s="5"/>
      <c r="AH73">
        <v>986</v>
      </c>
      <c r="AI73" s="4">
        <v>-14</v>
      </c>
      <c r="AK73" s="5"/>
      <c r="AM73">
        <v>986</v>
      </c>
      <c r="AN73" s="4">
        <v>-14</v>
      </c>
      <c r="AP73" s="5"/>
    </row>
    <row r="74" spans="2:42" x14ac:dyDescent="0.25">
      <c r="B74">
        <f t="shared" si="5"/>
        <v>70.099999999999994</v>
      </c>
      <c r="C74" s="4">
        <v>-14.5</v>
      </c>
      <c r="E74" s="5"/>
      <c r="H74">
        <f t="shared" si="6"/>
        <v>985.56</v>
      </c>
      <c r="I74" s="4">
        <v>-14.5</v>
      </c>
      <c r="K74" s="5"/>
      <c r="M74">
        <f t="shared" si="7"/>
        <v>985.56</v>
      </c>
      <c r="N74" s="4">
        <v>-14.5</v>
      </c>
      <c r="P74" s="5"/>
      <c r="R74">
        <f t="shared" si="8"/>
        <v>985.56</v>
      </c>
      <c r="S74" s="4">
        <v>-14.5</v>
      </c>
      <c r="X74">
        <f t="shared" si="9"/>
        <v>985.56</v>
      </c>
      <c r="Y74" s="4">
        <v>-14.5</v>
      </c>
      <c r="AA74" s="5"/>
      <c r="AC74">
        <v>985.5</v>
      </c>
      <c r="AD74" s="4">
        <v>-14.5</v>
      </c>
      <c r="AF74" s="5"/>
      <c r="AH74">
        <v>985.5</v>
      </c>
      <c r="AI74" s="4">
        <v>-14.5</v>
      </c>
      <c r="AK74" s="5"/>
      <c r="AM74">
        <v>985.5</v>
      </c>
      <c r="AN74" s="4">
        <v>-14.5</v>
      </c>
      <c r="AP74" s="5"/>
    </row>
    <row r="75" spans="2:42" x14ac:dyDescent="0.25">
      <c r="B75">
        <f t="shared" si="5"/>
        <v>69.599999999999994</v>
      </c>
      <c r="C75" s="6">
        <v>-15</v>
      </c>
      <c r="D75" t="s">
        <v>62</v>
      </c>
      <c r="E75" s="8"/>
      <c r="H75">
        <f t="shared" si="6"/>
        <v>985.06</v>
      </c>
      <c r="I75" s="6">
        <v>-15</v>
      </c>
      <c r="J75" s="7">
        <v>6.3449999999999998</v>
      </c>
      <c r="K75" s="8">
        <v>8.7759999999999998</v>
      </c>
      <c r="M75">
        <f t="shared" si="7"/>
        <v>985.06</v>
      </c>
      <c r="N75" s="6">
        <v>-15</v>
      </c>
      <c r="O75" s="7">
        <v>22.68</v>
      </c>
      <c r="P75" s="8">
        <v>8.0259999999999998</v>
      </c>
      <c r="R75">
        <f t="shared" si="8"/>
        <v>985.06</v>
      </c>
      <c r="S75" s="6">
        <v>-15</v>
      </c>
      <c r="T75" s="7">
        <v>18.62</v>
      </c>
      <c r="U75">
        <v>8.7029999999999994</v>
      </c>
      <c r="V75">
        <v>19.18</v>
      </c>
      <c r="X75">
        <f t="shared" si="9"/>
        <v>985.06</v>
      </c>
      <c r="Y75" s="6">
        <v>-15</v>
      </c>
      <c r="Z75" s="7">
        <v>39.53</v>
      </c>
      <c r="AA75" s="8">
        <v>8.6280000000000001</v>
      </c>
      <c r="AC75">
        <v>985</v>
      </c>
      <c r="AD75" s="6">
        <v>-15</v>
      </c>
      <c r="AE75" s="7"/>
      <c r="AF75" s="8"/>
      <c r="AH75">
        <v>985</v>
      </c>
      <c r="AI75" s="6">
        <v>-15</v>
      </c>
      <c r="AJ75" s="7"/>
      <c r="AK75" s="8"/>
      <c r="AM75">
        <v>985</v>
      </c>
      <c r="AN75" s="6">
        <v>-15</v>
      </c>
      <c r="AO75" s="7"/>
      <c r="AP75" s="8"/>
    </row>
    <row r="76" spans="2:42" x14ac:dyDescent="0.25">
      <c r="J76" t="s">
        <v>68</v>
      </c>
      <c r="O76" t="s">
        <v>68</v>
      </c>
      <c r="T76" t="s">
        <v>68</v>
      </c>
    </row>
    <row r="77" spans="2:42" x14ac:dyDescent="0.25">
      <c r="F77" t="s">
        <v>70</v>
      </c>
      <c r="N77" t="s">
        <v>71</v>
      </c>
    </row>
    <row r="78" spans="2:42" x14ac:dyDescent="0.25">
      <c r="S78" t="s">
        <v>73</v>
      </c>
    </row>
    <row r="80" spans="2:42" x14ac:dyDescent="0.25">
      <c r="B80" t="s">
        <v>56</v>
      </c>
    </row>
    <row r="81" spans="2:15" x14ac:dyDescent="0.25">
      <c r="B81" t="s">
        <v>22</v>
      </c>
      <c r="C81">
        <v>19.7</v>
      </c>
      <c r="D81">
        <v>19.510000000000002</v>
      </c>
      <c r="E81">
        <v>19.690000000000001</v>
      </c>
      <c r="M81" s="11">
        <f>AVERAGE(C81:E81)</f>
        <v>19.633333333333336</v>
      </c>
      <c r="N81" s="11">
        <f>STDEV(C81:E81)</f>
        <v>0.10692676621563549</v>
      </c>
      <c r="O81" s="12">
        <f>N81/M81</f>
        <v>5.4461850364500236E-3</v>
      </c>
    </row>
    <row r="82" spans="2:15" x14ac:dyDescent="0.25">
      <c r="B82" t="s">
        <v>20</v>
      </c>
      <c r="C82">
        <v>550.5</v>
      </c>
      <c r="D82">
        <v>546.9</v>
      </c>
      <c r="E82">
        <v>552</v>
      </c>
      <c r="M82" s="11">
        <f>AVERAGE(C82:E82)</f>
        <v>549.80000000000007</v>
      </c>
      <c r="N82" s="11">
        <f>STDEV(C82:E82)</f>
        <v>2.6210684844162437</v>
      </c>
      <c r="O82" s="12">
        <f t="shared" ref="O82:O83" si="10">N82/M82</f>
        <v>4.7673126308043715E-3</v>
      </c>
    </row>
    <row r="83" spans="2:15" x14ac:dyDescent="0.25">
      <c r="B83" t="s">
        <v>55</v>
      </c>
      <c r="C83">
        <v>7.3280000000000003</v>
      </c>
      <c r="D83">
        <v>7.6970000000000001</v>
      </c>
      <c r="E83">
        <v>7.452</v>
      </c>
      <c r="M83" s="11">
        <f>AVERAGE(C83:E83)</f>
        <v>7.4923333333333337</v>
      </c>
      <c r="N83" s="11">
        <f>STDEV(C83:E83)</f>
        <v>0.18777735042686403</v>
      </c>
      <c r="O83" s="12">
        <f t="shared" si="10"/>
        <v>2.5062599603176226E-2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J9:L15"/>
  <sheetViews>
    <sheetView workbookViewId="0">
      <selection activeCell="K24" sqref="K24"/>
    </sheetView>
  </sheetViews>
  <sheetFormatPr defaultRowHeight="15" x14ac:dyDescent="0.25"/>
  <sheetData>
    <row r="9" spans="10:12" x14ac:dyDescent="0.25">
      <c r="J9" s="1" t="s">
        <v>41</v>
      </c>
      <c r="K9" s="2" t="s">
        <v>46</v>
      </c>
      <c r="L9" s="3" t="s">
        <v>47</v>
      </c>
    </row>
    <row r="10" spans="10:12" x14ac:dyDescent="0.25">
      <c r="J10" s="4"/>
      <c r="K10" t="s">
        <v>17</v>
      </c>
      <c r="L10" s="5">
        <v>125</v>
      </c>
    </row>
    <row r="11" spans="10:12" x14ac:dyDescent="0.25">
      <c r="J11" s="4"/>
      <c r="K11" t="s">
        <v>11</v>
      </c>
      <c r="L11" s="5">
        <v>10</v>
      </c>
    </row>
    <row r="12" spans="10:12" x14ac:dyDescent="0.25">
      <c r="J12" s="4"/>
      <c r="K12" t="s">
        <v>12</v>
      </c>
      <c r="L12" s="5">
        <v>10</v>
      </c>
    </row>
    <row r="13" spans="10:12" x14ac:dyDescent="0.25">
      <c r="J13" s="4"/>
      <c r="K13" t="s">
        <v>23</v>
      </c>
      <c r="L13" s="5">
        <v>7</v>
      </c>
    </row>
    <row r="14" spans="10:12" x14ac:dyDescent="0.25">
      <c r="J14" s="4"/>
      <c r="K14" t="s">
        <v>35</v>
      </c>
      <c r="L14" s="5" t="s">
        <v>37</v>
      </c>
    </row>
    <row r="15" spans="10:12" x14ac:dyDescent="0.25">
      <c r="J15" s="4"/>
      <c r="K15" t="s">
        <v>36</v>
      </c>
      <c r="L15" s="5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cbc9030d81e640854c0116722611bb2e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07747659ba48739c4d8ec91b97a53e44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FEB3ED99-AC1B-41B5-A8EF-B9CFACA5EEA3}"/>
</file>

<file path=customXml/itemProps2.xml><?xml version="1.0" encoding="utf-8"?>
<ds:datastoreItem xmlns:ds="http://schemas.openxmlformats.org/officeDocument/2006/customXml" ds:itemID="{F82197E3-0020-4F61-8946-C172D793CFFF}"/>
</file>

<file path=customXml/itemProps3.xml><?xml version="1.0" encoding="utf-8"?>
<ds:datastoreItem xmlns:ds="http://schemas.openxmlformats.org/officeDocument/2006/customXml" ds:itemID="{33F5A728-773C-498E-AFD6-0849E8A9F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Initial tests</vt:lpstr>
      <vt:lpstr>Head</vt:lpstr>
      <vt:lpstr>Pelvis</vt:lpstr>
      <vt:lpstr>Pelvis large</vt:lpstr>
      <vt:lpstr>Breast</vt:lpstr>
      <vt:lpstr>Thorax</vt:lpstr>
      <vt:lpstr>Image gently</vt:lpstr>
      <vt:lpstr>Collated data</vt:lpstr>
      <vt:lpstr>New tests August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ijuni</dc:creator>
  <cp:lastModifiedBy>Jeffrey Barber (Western Sydney LHD)</cp:lastModifiedBy>
  <dcterms:created xsi:type="dcterms:W3CDTF">2021-05-13T01:56:47Z</dcterms:created>
  <dcterms:modified xsi:type="dcterms:W3CDTF">2023-11-13T05:47:20Z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</Properties>
</file>